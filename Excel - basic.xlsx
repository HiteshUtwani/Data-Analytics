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itesh Git hub\Data-Analytics\Data-Analytics\"/>
    </mc:Choice>
  </mc:AlternateContent>
  <xr:revisionPtr revIDLastSave="0" documentId="13_ncr:1_{BA217A00-3612-482B-B62D-FC2F8B0E51CC}" xr6:coauthVersionLast="47" xr6:coauthVersionMax="47" xr10:uidLastSave="{00000000-0000-0000-0000-000000000000}"/>
  <bookViews>
    <workbookView xWindow="-120" yWindow="-120" windowWidth="29040" windowHeight="15720" activeTab="2" xr2:uid="{9877E020-D8B8-4241-860F-9552F5AF7DF9}"/>
  </bookViews>
  <sheets>
    <sheet name="Sheet1" sheetId="1" r:id="rId1"/>
    <sheet name="Sheet2" sheetId="2" r:id="rId2"/>
    <sheet name="Sheet3" sheetId="3" r:id="rId3"/>
  </sheets>
  <definedNames>
    <definedName name="_xlchart.v1.0" hidden="1">Sheet1!$B$80:$B$83</definedName>
    <definedName name="_xlchart.v1.1" hidden="1">Sheet1!$C$79</definedName>
    <definedName name="_xlchart.v1.2" hidden="1">Sheet1!$C$80:$C$83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" i="3" l="1" a="1"/>
  <c r="A20" i="3"/>
  <c r="A19" i="3"/>
  <c r="A18" i="3"/>
  <c r="G12" i="3"/>
  <c r="F12" i="3"/>
  <c r="D2" i="3"/>
  <c r="D3" i="3"/>
  <c r="D4" i="3"/>
  <c r="D5" i="3"/>
  <c r="D6" i="3"/>
  <c r="D7" i="3"/>
  <c r="D8" i="3"/>
  <c r="D9" i="3"/>
  <c r="D10" i="3"/>
  <c r="D11" i="3"/>
  <c r="E12" i="2"/>
  <c r="D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<sst xmlns="http://schemas.openxmlformats.org/spreadsheetml/2006/main" count="263" uniqueCount="121">
  <si>
    <t>Batch</t>
  </si>
  <si>
    <t>Students</t>
  </si>
  <si>
    <t>DA_01</t>
  </si>
  <si>
    <t>DA_02</t>
  </si>
  <si>
    <t>DA_03</t>
  </si>
  <si>
    <t>DA_04</t>
  </si>
  <si>
    <t>Marks Range</t>
  </si>
  <si>
    <t>0–40</t>
  </si>
  <si>
    <t>41–60</t>
  </si>
  <si>
    <t>61–80</t>
  </si>
  <si>
    <t>81–100</t>
  </si>
  <si>
    <t>Subject</t>
  </si>
  <si>
    <t>Marks</t>
  </si>
  <si>
    <t>Math</t>
  </si>
  <si>
    <t>Science</t>
  </si>
  <si>
    <t>English</t>
  </si>
  <si>
    <t>Computer</t>
  </si>
  <si>
    <t>Social</t>
  </si>
  <si>
    <t>Month</t>
  </si>
  <si>
    <t>Attendance (%)</t>
  </si>
  <si>
    <t>Jan</t>
  </si>
  <si>
    <t>Feb</t>
  </si>
  <si>
    <t>Mar</t>
  </si>
  <si>
    <t>Apr</t>
  </si>
  <si>
    <t>May</t>
  </si>
  <si>
    <t>Activity</t>
  </si>
  <si>
    <t>Hours</t>
  </si>
  <si>
    <t>Study</t>
  </si>
  <si>
    <t>Sleep</t>
  </si>
  <si>
    <t>Mobile</t>
  </si>
  <si>
    <t>College</t>
  </si>
  <si>
    <t>Others</t>
  </si>
  <si>
    <t>Course</t>
  </si>
  <si>
    <t>Percentage</t>
  </si>
  <si>
    <t>Data Analytics</t>
  </si>
  <si>
    <t>Full Stack</t>
  </si>
  <si>
    <t>Python</t>
  </si>
  <si>
    <t>Fees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</si>
  <si>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</si>
  <si>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</si>
  <si>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</si>
  <si>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</si>
  <si>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</si>
  <si>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</si>
  <si>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</si>
  <si>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</si>
  <si>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</si>
  <si>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</si>
  <si>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</si>
  <si>
    <t>Sr No.</t>
  </si>
  <si>
    <t>Name</t>
  </si>
  <si>
    <t>Age</t>
  </si>
  <si>
    <t>Email</t>
  </si>
  <si>
    <t>Salary</t>
  </si>
  <si>
    <t>Hitesh</t>
  </si>
  <si>
    <t>Prithvi</t>
  </si>
  <si>
    <t>Pankaj</t>
  </si>
  <si>
    <t>Ravindra</t>
  </si>
  <si>
    <t>Hetvi</t>
  </si>
  <si>
    <t>Jyoti</t>
  </si>
  <si>
    <t>Shivam</t>
  </si>
  <si>
    <t>Om</t>
  </si>
  <si>
    <t>Donald</t>
  </si>
  <si>
    <t>Hardik</t>
  </si>
  <si>
    <t>hitu@gmail</t>
  </si>
  <si>
    <t>prith@gmail.com</t>
  </si>
  <si>
    <t>panku@gmail.com</t>
  </si>
  <si>
    <t>Rav@gmail.com</t>
  </si>
  <si>
    <t>het@gmail.com</t>
  </si>
  <si>
    <t>Jyoti@gmail.com</t>
  </si>
  <si>
    <t>shivam@gmail.com</t>
  </si>
  <si>
    <t>om@gmail.com</t>
  </si>
  <si>
    <t>Don@gmail.com</t>
  </si>
  <si>
    <t>Hard@gmail.com</t>
  </si>
  <si>
    <t>Total</t>
  </si>
  <si>
    <t>First Name</t>
  </si>
  <si>
    <t>Last Name</t>
  </si>
  <si>
    <t>Utwani</t>
  </si>
  <si>
    <t>Rijwani</t>
  </si>
  <si>
    <t>Panjwani</t>
  </si>
  <si>
    <t>Chawla</t>
  </si>
  <si>
    <t>Tilwani</t>
  </si>
  <si>
    <t>Patel</t>
  </si>
  <si>
    <t>Sharma</t>
  </si>
  <si>
    <t>Ahuja</t>
  </si>
  <si>
    <t>Macwan</t>
  </si>
  <si>
    <t>Panchal</t>
  </si>
  <si>
    <t>Full Name</t>
  </si>
  <si>
    <t>Split First name</t>
  </si>
  <si>
    <t>Split Last name</t>
  </si>
  <si>
    <t>Hitesh Utwani</t>
  </si>
  <si>
    <t>Prithvi Rijwani</t>
  </si>
  <si>
    <t>Pankaj Panjwani</t>
  </si>
  <si>
    <t>Ravindra Chawla</t>
  </si>
  <si>
    <t>Hetvi Tilwani</t>
  </si>
  <si>
    <t>Jyoti Patel</t>
  </si>
  <si>
    <t>Shivam Sharma</t>
  </si>
  <si>
    <t>Om Ahuja</t>
  </si>
  <si>
    <t>Donald Macwan</t>
  </si>
  <si>
    <t>Hardik Panchal</t>
  </si>
  <si>
    <t>Concat</t>
  </si>
  <si>
    <t>Merge</t>
  </si>
  <si>
    <t>hitu@gmail.com</t>
  </si>
  <si>
    <t>Split</t>
  </si>
  <si>
    <t xml:space="preserve">Name </t>
  </si>
  <si>
    <t>Domain</t>
  </si>
  <si>
    <t>Top Level Domain</t>
  </si>
  <si>
    <t>Flash ctrl + E</t>
  </si>
  <si>
    <t>hitu</t>
  </si>
  <si>
    <t>prith</t>
  </si>
  <si>
    <t>panku</t>
  </si>
  <si>
    <t>Rav</t>
  </si>
  <si>
    <t>het</t>
  </si>
  <si>
    <t>shivam</t>
  </si>
  <si>
    <t>om</t>
  </si>
  <si>
    <t>Don</t>
  </si>
  <si>
    <t>Hard</t>
  </si>
  <si>
    <t>Gmail</t>
  </si>
  <si>
    <t>com</t>
  </si>
  <si>
    <t>Split to text</t>
  </si>
  <si>
    <t>gmail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</si>
</sst>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9" fontId="2" fillId="2" borderId="1" xfId="0" applyNumberFormat="1" applyFont="1" applyFill="1" applyBorder="1" applyAlignment="1">
      <alignment horizontal="left" vertical="center" wrapText="1" indent="1"/>
    </xf>
    <xf numFmtId="9" fontId="2" fillId="3" borderId="1" xfId="0" applyNumberFormat="1" applyFont="1" applyFill="1" applyBorder="1" applyAlignment="1">
      <alignment horizontal="left" vertical="center" wrapText="1" inden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64" fontId="0" fillId="0" borderId="0" xfId="0" applyNumberFormat="1"/>
    <xf numFmtId="0" fontId="5" fillId="5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Sheet1!$B$5:$B$9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A-4A92-BE55-5F744D96C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508399"/>
        <c:axId val="175510895"/>
      </c:barChart>
      <c:catAx>
        <c:axId val="17550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0895"/>
        <c:crosses val="autoZero"/>
        <c:auto val="1"/>
        <c:lblAlgn val="ctr"/>
        <c:lblOffset val="100"/>
        <c:noMultiLvlLbl val="0"/>
      </c:catAx>
      <c:valAx>
        <c:axId val="17551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F-4133-97DF-C965E8AC0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835535"/>
        <c:axId val="224835951"/>
      </c:barChart>
      <c:catAx>
        <c:axId val="224835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35951"/>
        <c:crosses val="autoZero"/>
        <c:auto val="1"/>
        <c:lblAlgn val="ctr"/>
        <c:lblOffset val="100"/>
        <c:noMultiLvlLbl val="0"/>
      </c:catAx>
      <c:valAx>
        <c:axId val="22483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3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Sheet1!$B$31:$B$35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Sheet1!$C$31:$C$35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C-4EA8-B006-6E5F723B5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09231"/>
        <c:axId val="175518799"/>
      </c:lineChart>
      <c:catAx>
        <c:axId val="17550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18799"/>
        <c:crosses val="autoZero"/>
        <c:auto val="1"/>
        <c:lblAlgn val="ctr"/>
        <c:lblOffset val="100"/>
        <c:noMultiLvlLbl val="0"/>
      </c:catAx>
      <c:valAx>
        <c:axId val="17551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Sheet1!$C$45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4-43FA-8EA6-E741461597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4-43FA-8EA6-E741461597D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4-43FA-8EA6-E741461597D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24-43FA-8EA6-E741461597D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24-43FA-8EA6-E74146159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Sheet1!$B$46:$B$50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Sheet1!$C$46:$C$50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C-481D-A211-EBB4542461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Sheet1!$C$63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A-44E3-8659-A1D40D34DB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1A-44E3-8659-A1D40D34DB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1A-44E3-8659-A1D40D34DB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1A-44E3-8659-A1D40D34DB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Sheet1!$B$64:$B$67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Sheet1!$C$64:$C$67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F-4EE9-BB8A-3ABDD36E7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Sheet1!$C$95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Sheet1!$B$96:$B$99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Sheet1!$C$96:$C$99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F-41C4-9E8F-F4E6A73D8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64670239"/>
        <c:axId val="564666911"/>
      </c:barChart>
      <c:catAx>
        <c:axId val="56467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66911"/>
        <c:crosses val="autoZero"/>
        <c:auto val="1"/>
        <c:lblAlgn val="ctr"/>
        <c:lblOffset val="100"/>
        <c:noMultiLvlLbl val="0"/>
      </c:catAx>
      <c:valAx>
        <c:axId val="56466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Sheet1!$B$110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Sheet1!$B$111:$B$115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F-4430-8A93-40639C6C8FAE}"/>
            </c:ext>
          </c:extLst>
        </c:ser>
        <c:ser>
          <c:idx val="1"/>
          <c:order val="1"/>
          <c:tx>
            <c:strRef>
              <c:f>Sheet1!$C$110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Sheet1!$C$111:$C$115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F-4430-8A93-40639C6C8F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4438047"/>
        <c:axId val="474438463"/>
      </c:lineChart>
      <c:catAx>
        <c:axId val="474438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38463"/>
        <c:crosses val="autoZero"/>
        <c:auto val="1"/>
        <c:lblAlgn val="ctr"/>
        <c:lblOffset val="100"/>
        <c:noMultiLvlLbl val="0"/>
      </c:catAx>
      <c:valAx>
        <c:axId val="4744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43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Sheet1!$C$127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Sheet1!$B$128:$B$131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Sheet1!$C$128:$C$131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4-4D18-AF6F-FB32A929DE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3524447"/>
        <c:axId val="643534847"/>
      </c:barChart>
      <c:catAx>
        <c:axId val="64352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34847"/>
        <c:crosses val="autoZero"/>
        <c:auto val="1"/>
        <c:lblAlgn val="ctr"/>
        <c:lblOffset val="100"/>
        <c:noMultiLvlLbl val="0"/>
      </c:catAx>
      <c:valAx>
        <c:axId val="643534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2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Sheet1!$C$144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A-40A1-9F9F-3020FD46B5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3A-40A1-9F9F-3020FD46B5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3A-40A1-9F9F-3020FD46B5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3A-40A1-9F9F-3020FD46B5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Sheet1!$B$145:$B$148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Sheet1!$C$145:$C$148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4-4FE5-A8FC-E5C21E208F1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Sheet1!$P$4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Sheet1!$O$5:$O$9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Sheet1!$P$5:$P$9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8-4BCB-B7A9-3C2E32D43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8686831"/>
        <c:axId val="608693071"/>
      </c:barChart>
      <c:catAx>
        <c:axId val="6086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93071"/>
        <c:crosses val="autoZero"/>
        <c:auto val="1"/>
        <c:lblAlgn val="ctr"/>
        <c:lblOffset val="100"/>
        <c:noMultiLvlLbl val="0"/>
      </c:catAx>
      <c:valAx>
        <c:axId val="60869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C-451E-B666-B85B2FAA2FDC}"/>
            </c:ext>
          </c:extLst>
        </c:ser>
        <c:ser>
          <c:idx val="1"/>
          <c:order val="1"/>
          <c:tx>
            <c:strRef>
              <c:f>Sheet1!$C$14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Sheet1!$B$15:$B$18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Sheet1!$C$15:$C$18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0C-451E-B666-B85B2FAA2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5586831"/>
        <c:axId val="635588495"/>
      </c:barChart>
      <c:catAx>
        <c:axId val="63558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8495"/>
        <c:crosses val="autoZero"/>
        <c:auto val="1"/>
        <c:lblAlgn val="ctr"/>
        <c:lblOffset val="100"/>
        <c:noMultiLvlLbl val="0"/>
      </c:catAx>
      <c:valAx>
        <c:axId val="63558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5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B30DBD6C-3B40-4A3A-A637-5E649033A369}">
          <cx:tx>
            <cx:txData>
              <cx:f>_xlchart.v1.1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2</xdr:row>
      <xdr:rowOff>42862</xdr:rowOff>
    </xdr:from>
    <xdr:to>
      <xdr:col>11</xdr:col>
      <xdr:colOff>28575</xdr:colOff>
      <xdr:row>10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3F0149-970D-A67C-40C4-73EE3540FE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47625</xdr:colOff>
      <xdr:row>12</xdr:row>
      <xdr:rowOff>42862</xdr:rowOff>
    </xdr:from>
    <xdr:to>
      <xdr:col>11</xdr:col>
      <xdr:colOff>161925</xdr:colOff>
      <xdr:row>25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22BA74-CCBC-EC37-966A-11796E490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581025</xdr:colOff>
      <xdr:row>28</xdr:row>
      <xdr:rowOff>61912</xdr:rowOff>
    </xdr:from>
    <xdr:to>
      <xdr:col>11</xdr:col>
      <xdr:colOff>85725</xdr:colOff>
      <xdr:row>40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C44788B-14C2-A810-13E9-2C5E31747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504825</xdr:colOff>
      <xdr:row>43</xdr:row>
      <xdr:rowOff>176212</xdr:rowOff>
    </xdr:from>
    <xdr:to>
      <xdr:col>11</xdr:col>
      <xdr:colOff>9525</xdr:colOff>
      <xdr:row>57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BA5F1-00D3-ADE0-3E0A-1E2E6F1BB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457200</xdr:colOff>
      <xdr:row>61</xdr:row>
      <xdr:rowOff>166687</xdr:rowOff>
    </xdr:from>
    <xdr:to>
      <xdr:col>10</xdr:col>
      <xdr:colOff>1371600</xdr:colOff>
      <xdr:row>74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4D0FCA-331E-E4CE-C8BB-206C9A6E5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600075</xdr:colOff>
      <xdr:row>77</xdr:row>
      <xdr:rowOff>14287</xdr:rowOff>
    </xdr:from>
    <xdr:to>
      <xdr:col>11</xdr:col>
      <xdr:colOff>104775</xdr:colOff>
      <xdr:row>90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550F4C2-5E71-43FB-FED6-D4A345C1DE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6675" y="172640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9525</xdr:colOff>
      <xdr:row>92</xdr:row>
      <xdr:rowOff>71437</xdr:rowOff>
    </xdr:from>
    <xdr:to>
      <xdr:col>11</xdr:col>
      <xdr:colOff>123825</xdr:colOff>
      <xdr:row>105</xdr:row>
      <xdr:rowOff>138112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6C3C1A3-3408-527E-30F4-02BEBA7B3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28575</xdr:colOff>
      <xdr:row>109</xdr:row>
      <xdr:rowOff>33337</xdr:rowOff>
    </xdr:from>
    <xdr:to>
      <xdr:col>11</xdr:col>
      <xdr:colOff>142875</xdr:colOff>
      <xdr:row>122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0FF7FD-7E33-9D17-BDFB-998A9D9BF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523875</xdr:colOff>
      <xdr:row>125</xdr:row>
      <xdr:rowOff>176212</xdr:rowOff>
    </xdr:from>
    <xdr:to>
      <xdr:col>11</xdr:col>
      <xdr:colOff>28575</xdr:colOff>
      <xdr:row>139</xdr:row>
      <xdr:rowOff>52387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6612EAA-A763-4DAE-F1DD-2AB2CC168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485775</xdr:colOff>
      <xdr:row>142</xdr:row>
      <xdr:rowOff>90487</xdr:rowOff>
    </xdr:from>
    <xdr:to>
      <xdr:col>10</xdr:col>
      <xdr:colOff>1400175</xdr:colOff>
      <xdr:row>154</xdr:row>
      <xdr:rowOff>128587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811A250-CB0A-04E8-7061-FDDE1119E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581025</xdr:colOff>
      <xdr:row>3</xdr:row>
      <xdr:rowOff>33337</xdr:rowOff>
    </xdr:from>
    <xdr:to>
      <xdr:col>24</xdr:col>
      <xdr:colOff>276225</xdr:colOff>
      <xdr:row>12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164944-BDB7-1ECD-51C9-21FBA3F9C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590550</xdr:colOff>
      <xdr:row>13</xdr:row>
      <xdr:rowOff>176212</xdr:rowOff>
    </xdr:from>
    <xdr:to>
      <xdr:col>24</xdr:col>
      <xdr:colOff>285750</xdr:colOff>
      <xdr:row>25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F71F7A-4674-03C6-475F-D1AB2B04C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rd@gmail.com" TargetMode="External"/><Relationship Id="rId3" Type="http://schemas.openxmlformats.org/officeDocument/2006/relationships/hyperlink" Target="mailto:Rav@gmail.com" TargetMode="External"/><Relationship Id="rId7" Type="http://schemas.openxmlformats.org/officeDocument/2006/relationships/hyperlink" Target="mailto:Don@gmail.com" TargetMode="External"/><Relationship Id="rId2" Type="http://schemas.openxmlformats.org/officeDocument/2006/relationships/hyperlink" Target="mailto:panku@gmail.com" TargetMode="External"/><Relationship Id="rId1" Type="http://schemas.openxmlformats.org/officeDocument/2006/relationships/hyperlink" Target="mailto:prith@gmail.com" TargetMode="External"/><Relationship Id="rId6" Type="http://schemas.openxmlformats.org/officeDocument/2006/relationships/hyperlink" Target="mailto:shivam@gmail.com" TargetMode="External"/><Relationship Id="rId5" Type="http://schemas.openxmlformats.org/officeDocument/2006/relationships/hyperlink" Target="mailto:Jyoti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het@gmail.com" TargetMode="External"/><Relationship Id="rId9" Type="http://schemas.openxmlformats.org/officeDocument/2006/relationships/hyperlink" Target="mailto:om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ard@gmail.com" TargetMode="External"/><Relationship Id="rId13" Type="http://schemas.openxmlformats.org/officeDocument/2006/relationships/hyperlink" Target="mailto:het@gmail.com" TargetMode="External"/><Relationship Id="rId18" Type="http://schemas.openxmlformats.org/officeDocument/2006/relationships/hyperlink" Target="mailto:om@gmail.com" TargetMode="External"/><Relationship Id="rId26" Type="http://schemas.openxmlformats.org/officeDocument/2006/relationships/hyperlink" Target="mailto:Don@gmail.com" TargetMode="External"/><Relationship Id="rId3" Type="http://schemas.openxmlformats.org/officeDocument/2006/relationships/hyperlink" Target="mailto:Rav@gmail.com" TargetMode="External"/><Relationship Id="rId21" Type="http://schemas.openxmlformats.org/officeDocument/2006/relationships/hyperlink" Target="mailto:panku@gmail.com" TargetMode="External"/><Relationship Id="rId7" Type="http://schemas.openxmlformats.org/officeDocument/2006/relationships/hyperlink" Target="mailto:Don@gmail.com" TargetMode="External"/><Relationship Id="rId12" Type="http://schemas.openxmlformats.org/officeDocument/2006/relationships/hyperlink" Target="mailto:Rav@gmail.com" TargetMode="External"/><Relationship Id="rId17" Type="http://schemas.openxmlformats.org/officeDocument/2006/relationships/hyperlink" Target="mailto:Hard@gmail.com" TargetMode="External"/><Relationship Id="rId25" Type="http://schemas.openxmlformats.org/officeDocument/2006/relationships/hyperlink" Target="mailto:shivam@gmail.com" TargetMode="External"/><Relationship Id="rId2" Type="http://schemas.openxmlformats.org/officeDocument/2006/relationships/hyperlink" Target="mailto:panku@gmail.com" TargetMode="External"/><Relationship Id="rId16" Type="http://schemas.openxmlformats.org/officeDocument/2006/relationships/hyperlink" Target="mailto:Don@gmail.com" TargetMode="External"/><Relationship Id="rId20" Type="http://schemas.openxmlformats.org/officeDocument/2006/relationships/hyperlink" Target="mailto:prith@gmail.com" TargetMode="External"/><Relationship Id="rId29" Type="http://schemas.openxmlformats.org/officeDocument/2006/relationships/hyperlink" Target="mailto:hitu@gmail.com" TargetMode="External"/><Relationship Id="rId1" Type="http://schemas.openxmlformats.org/officeDocument/2006/relationships/hyperlink" Target="mailto:prith@gmail.com" TargetMode="External"/><Relationship Id="rId6" Type="http://schemas.openxmlformats.org/officeDocument/2006/relationships/hyperlink" Target="mailto:shivam@gmail.com" TargetMode="External"/><Relationship Id="rId11" Type="http://schemas.openxmlformats.org/officeDocument/2006/relationships/hyperlink" Target="mailto:panku@gmail.com" TargetMode="External"/><Relationship Id="rId24" Type="http://schemas.openxmlformats.org/officeDocument/2006/relationships/hyperlink" Target="mailto:Jyoti@gmail.com" TargetMode="External"/><Relationship Id="rId5" Type="http://schemas.openxmlformats.org/officeDocument/2006/relationships/hyperlink" Target="mailto:Jyoti@gmail.com" TargetMode="External"/><Relationship Id="rId15" Type="http://schemas.openxmlformats.org/officeDocument/2006/relationships/hyperlink" Target="mailto:shivam@gmail.com" TargetMode="External"/><Relationship Id="rId23" Type="http://schemas.openxmlformats.org/officeDocument/2006/relationships/hyperlink" Target="mailto:het@gmail.com" TargetMode="External"/><Relationship Id="rId28" Type="http://schemas.openxmlformats.org/officeDocument/2006/relationships/hyperlink" Target="mailto:om@gmail.com" TargetMode="External"/><Relationship Id="rId10" Type="http://schemas.openxmlformats.org/officeDocument/2006/relationships/hyperlink" Target="mailto:prith@gmail.com" TargetMode="External"/><Relationship Id="rId19" Type="http://schemas.openxmlformats.org/officeDocument/2006/relationships/hyperlink" Target="mailto:hitu@gmail.com" TargetMode="External"/><Relationship Id="rId4" Type="http://schemas.openxmlformats.org/officeDocument/2006/relationships/hyperlink" Target="mailto:het@gmail.com" TargetMode="External"/><Relationship Id="rId9" Type="http://schemas.openxmlformats.org/officeDocument/2006/relationships/hyperlink" Target="mailto:om@gmail.com" TargetMode="External"/><Relationship Id="rId14" Type="http://schemas.openxmlformats.org/officeDocument/2006/relationships/hyperlink" Target="mailto:Jyoti@gmail.com" TargetMode="External"/><Relationship Id="rId22" Type="http://schemas.openxmlformats.org/officeDocument/2006/relationships/hyperlink" Target="mailto:Rav@gmail.com" TargetMode="External"/><Relationship Id="rId27" Type="http://schemas.openxmlformats.org/officeDocument/2006/relationships/hyperlink" Target="mailto:Har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B447-47A7-470E-858F-97C21358EC92}">
  <dimension ref="B3:P148"/>
  <sheetViews>
    <sheetView workbookViewId="0">
      <selection activeCell="O8" sqref="O8"/>
    </sheetView>
  </sheetViews>
  <sheetFormatPr defaultRowHeight="15" x14ac:dyDescent="0.25"/>
  <cols>
    <col min="2" max="2" width="18.85546875" customWidth="1"/>
    <col min="3" max="3" width="12" customWidth="1"/>
    <col min="11" max="11" width="21.140625" customWidth="1"/>
    <col min="12" max="12" width="13" customWidth="1"/>
  </cols>
  <sheetData>
    <row r="3" spans="2:16" ht="15.75" thickBot="1" x14ac:dyDescent="0.3"/>
    <row r="4" spans="2:16" ht="18" thickBot="1" x14ac:dyDescent="0.3">
      <c r="B4" s="1" t="s">
        <v>11</v>
      </c>
      <c r="C4" s="1" t="s">
        <v>12</v>
      </c>
      <c r="O4" s="1" t="s">
        <v>11</v>
      </c>
      <c r="P4" s="1" t="s">
        <v>12</v>
      </c>
    </row>
    <row r="5" spans="2:16" ht="18" thickBot="1" x14ac:dyDescent="0.3">
      <c r="B5" s="2" t="s">
        <v>13</v>
      </c>
      <c r="C5" s="2">
        <v>78</v>
      </c>
      <c r="O5" s="2" t="s">
        <v>13</v>
      </c>
      <c r="P5" s="2">
        <v>78</v>
      </c>
    </row>
    <row r="6" spans="2:16" ht="35.25" thickBot="1" x14ac:dyDescent="0.3">
      <c r="B6" s="3" t="s">
        <v>14</v>
      </c>
      <c r="C6" s="3">
        <v>85</v>
      </c>
      <c r="O6" s="3" t="s">
        <v>14</v>
      </c>
      <c r="P6" s="3">
        <v>85</v>
      </c>
    </row>
    <row r="7" spans="2:16" ht="35.25" thickBot="1" x14ac:dyDescent="0.3">
      <c r="B7" s="2" t="s">
        <v>15</v>
      </c>
      <c r="C7" s="2">
        <v>72</v>
      </c>
      <c r="O7" s="2" t="s">
        <v>15</v>
      </c>
      <c r="P7" s="2">
        <v>72</v>
      </c>
    </row>
    <row r="8" spans="2:16" ht="35.25" thickBot="1" x14ac:dyDescent="0.3">
      <c r="B8" s="3" t="s">
        <v>16</v>
      </c>
      <c r="C8" s="3">
        <v>90</v>
      </c>
      <c r="K8" s="1"/>
      <c r="L8" s="1"/>
      <c r="O8" s="3" t="s">
        <v>16</v>
      </c>
      <c r="P8" s="3">
        <v>90</v>
      </c>
    </row>
    <row r="9" spans="2:16" ht="18" thickBot="1" x14ac:dyDescent="0.3">
      <c r="B9" s="2" t="s">
        <v>17</v>
      </c>
      <c r="C9" s="2">
        <v>68</v>
      </c>
      <c r="K9" s="2"/>
      <c r="L9" s="2"/>
      <c r="O9" s="2" t="s">
        <v>17</v>
      </c>
      <c r="P9" s="2">
        <v>68</v>
      </c>
    </row>
    <row r="10" spans="2:16" ht="18" thickBot="1" x14ac:dyDescent="0.3">
      <c r="K10" s="3"/>
      <c r="L10" s="3"/>
    </row>
    <row r="11" spans="2:16" ht="18" thickBot="1" x14ac:dyDescent="0.3">
      <c r="K11" s="2"/>
      <c r="L11" s="2"/>
    </row>
    <row r="12" spans="2:16" ht="18" thickBot="1" x14ac:dyDescent="0.3">
      <c r="K12" s="3"/>
      <c r="L12" s="3"/>
    </row>
    <row r="13" spans="2:16" ht="15.75" thickBot="1" x14ac:dyDescent="0.3"/>
    <row r="14" spans="2:16" ht="18" thickBot="1" x14ac:dyDescent="0.3">
      <c r="B14" s="1" t="s">
        <v>0</v>
      </c>
      <c r="C14" s="1" t="s">
        <v>1</v>
      </c>
    </row>
    <row r="15" spans="2:16" ht="35.25" thickBot="1" x14ac:dyDescent="0.3">
      <c r="B15" s="2" t="s">
        <v>2</v>
      </c>
      <c r="C15" s="2">
        <v>25</v>
      </c>
      <c r="O15" s="1" t="s">
        <v>0</v>
      </c>
      <c r="P15" s="1" t="s">
        <v>1</v>
      </c>
    </row>
    <row r="16" spans="2:16" ht="18" thickBot="1" x14ac:dyDescent="0.3">
      <c r="B16" s="3" t="s">
        <v>3</v>
      </c>
      <c r="C16" s="3">
        <v>30</v>
      </c>
      <c r="O16" s="2" t="s">
        <v>2</v>
      </c>
      <c r="P16" s="2">
        <v>25</v>
      </c>
    </row>
    <row r="17" spans="2:16" ht="18" thickBot="1" x14ac:dyDescent="0.3">
      <c r="B17" s="2" t="s">
        <v>4</v>
      </c>
      <c r="C17" s="2">
        <v>28</v>
      </c>
      <c r="O17" s="3" t="s">
        <v>3</v>
      </c>
      <c r="P17" s="3">
        <v>30</v>
      </c>
    </row>
    <row r="18" spans="2:16" ht="18" thickBot="1" x14ac:dyDescent="0.3">
      <c r="B18" s="3" t="s">
        <v>5</v>
      </c>
      <c r="C18" s="3">
        <v>22</v>
      </c>
      <c r="O18" s="2" t="s">
        <v>4</v>
      </c>
      <c r="P18" s="2">
        <v>28</v>
      </c>
    </row>
    <row r="19" spans="2:16" ht="18" thickBot="1" x14ac:dyDescent="0.3">
      <c r="O19" s="3" t="s">
        <v>5</v>
      </c>
      <c r="P19" s="3">
        <v>22</v>
      </c>
    </row>
    <row r="29" spans="2:16" ht="15.75" thickBot="1" x14ac:dyDescent="0.3"/>
    <row r="30" spans="2:16" ht="35.25" thickBot="1" x14ac:dyDescent="0.3">
      <c r="B30" s="1" t="s">
        <v>18</v>
      </c>
      <c r="C30" s="1" t="s">
        <v>19</v>
      </c>
    </row>
    <row r="31" spans="2:16" ht="18" thickBot="1" x14ac:dyDescent="0.3">
      <c r="B31" s="2" t="s">
        <v>20</v>
      </c>
      <c r="C31" s="2">
        <v>80</v>
      </c>
    </row>
    <row r="32" spans="2:16" ht="18" thickBot="1" x14ac:dyDescent="0.3">
      <c r="B32" s="3" t="s">
        <v>21</v>
      </c>
      <c r="C32" s="3">
        <v>82</v>
      </c>
    </row>
    <row r="33" spans="2:3" ht="18" thickBot="1" x14ac:dyDescent="0.3">
      <c r="B33" s="2" t="s">
        <v>22</v>
      </c>
      <c r="C33" s="2">
        <v>78</v>
      </c>
    </row>
    <row r="34" spans="2:3" ht="18" thickBot="1" x14ac:dyDescent="0.3">
      <c r="B34" s="3" t="s">
        <v>23</v>
      </c>
      <c r="C34" s="3">
        <v>85</v>
      </c>
    </row>
    <row r="35" spans="2:3" ht="18" thickBot="1" x14ac:dyDescent="0.3">
      <c r="B35" s="2" t="s">
        <v>24</v>
      </c>
      <c r="C35" s="2">
        <v>88</v>
      </c>
    </row>
    <row r="44" spans="2:3" ht="15.75" thickBot="1" x14ac:dyDescent="0.3"/>
    <row r="45" spans="2:3" ht="18" thickBot="1" x14ac:dyDescent="0.3">
      <c r="B45" s="1" t="s">
        <v>25</v>
      </c>
      <c r="C45" s="1" t="s">
        <v>26</v>
      </c>
    </row>
    <row r="46" spans="2:3" ht="18" thickBot="1" x14ac:dyDescent="0.3">
      <c r="B46" s="2" t="s">
        <v>27</v>
      </c>
      <c r="C46" s="2">
        <v>6</v>
      </c>
    </row>
    <row r="47" spans="2:3" ht="18" thickBot="1" x14ac:dyDescent="0.3">
      <c r="B47" s="3" t="s">
        <v>28</v>
      </c>
      <c r="C47" s="3">
        <v>8</v>
      </c>
    </row>
    <row r="48" spans="2:3" ht="18" thickBot="1" x14ac:dyDescent="0.3">
      <c r="B48" s="2" t="s">
        <v>29</v>
      </c>
      <c r="C48" s="2">
        <v>4</v>
      </c>
    </row>
    <row r="49" spans="2:3" ht="18" thickBot="1" x14ac:dyDescent="0.3">
      <c r="B49" s="3" t="s">
        <v>30</v>
      </c>
      <c r="C49" s="3">
        <v>4</v>
      </c>
    </row>
    <row r="50" spans="2:3" ht="18" thickBot="1" x14ac:dyDescent="0.3">
      <c r="B50" s="2" t="s">
        <v>31</v>
      </c>
      <c r="C50" s="2">
        <v>2</v>
      </c>
    </row>
    <row r="62" spans="2:3" ht="15.75" thickBot="1" x14ac:dyDescent="0.3"/>
    <row r="63" spans="2:3" ht="35.25" thickBot="1" x14ac:dyDescent="0.3">
      <c r="B63" s="1" t="s">
        <v>32</v>
      </c>
      <c r="C63" s="1" t="s">
        <v>33</v>
      </c>
    </row>
    <row r="64" spans="2:3" ht="18" thickBot="1" x14ac:dyDescent="0.3">
      <c r="B64" s="2" t="s">
        <v>34</v>
      </c>
      <c r="C64" s="4">
        <v>0.4</v>
      </c>
    </row>
    <row r="65" spans="2:3" ht="18" thickBot="1" x14ac:dyDescent="0.3">
      <c r="B65" s="3" t="s">
        <v>35</v>
      </c>
      <c r="C65" s="5">
        <v>0.35</v>
      </c>
    </row>
    <row r="66" spans="2:3" ht="18" thickBot="1" x14ac:dyDescent="0.3">
      <c r="B66" s="2" t="s">
        <v>36</v>
      </c>
      <c r="C66" s="4">
        <v>0.15</v>
      </c>
    </row>
    <row r="67" spans="2:3" ht="18" thickBot="1" x14ac:dyDescent="0.3">
      <c r="B67" s="3" t="s">
        <v>31</v>
      </c>
      <c r="C67" s="5">
        <v>0.1</v>
      </c>
    </row>
    <row r="78" spans="2:3" ht="15.75" thickBot="1" x14ac:dyDescent="0.3"/>
    <row r="79" spans="2:3" ht="18" thickBot="1" x14ac:dyDescent="0.3">
      <c r="B79" s="1" t="s">
        <v>6</v>
      </c>
      <c r="C79" s="1" t="s">
        <v>1</v>
      </c>
    </row>
    <row r="80" spans="2:3" ht="18" thickBot="1" x14ac:dyDescent="0.3">
      <c r="B80" s="2" t="s">
        <v>7</v>
      </c>
      <c r="C80" s="2">
        <v>5</v>
      </c>
    </row>
    <row r="81" spans="2:3" ht="18" thickBot="1" x14ac:dyDescent="0.3">
      <c r="B81" s="3" t="s">
        <v>8</v>
      </c>
      <c r="C81" s="3">
        <v>12</v>
      </c>
    </row>
    <row r="82" spans="2:3" ht="18" thickBot="1" x14ac:dyDescent="0.3">
      <c r="B82" s="2" t="s">
        <v>9</v>
      </c>
      <c r="C82" s="2">
        <v>18</v>
      </c>
    </row>
    <row r="83" spans="2:3" ht="18" thickBot="1" x14ac:dyDescent="0.3">
      <c r="B83" s="3" t="s">
        <v>10</v>
      </c>
      <c r="C83" s="3">
        <v>10</v>
      </c>
    </row>
    <row r="94" spans="2:3" ht="15.75" thickBot="1" x14ac:dyDescent="0.3"/>
    <row r="95" spans="2:3" ht="18" thickBot="1" x14ac:dyDescent="0.3">
      <c r="B95" s="1" t="s">
        <v>18</v>
      </c>
      <c r="C95" s="1" t="s">
        <v>37</v>
      </c>
    </row>
    <row r="96" spans="2:3" ht="18" thickBot="1" x14ac:dyDescent="0.3">
      <c r="B96" s="2" t="s">
        <v>20</v>
      </c>
      <c r="C96" s="2">
        <v>50</v>
      </c>
    </row>
    <row r="97" spans="2:3" ht="18" thickBot="1" x14ac:dyDescent="0.3">
      <c r="B97" s="3" t="s">
        <v>21</v>
      </c>
      <c r="C97" s="3">
        <v>65</v>
      </c>
    </row>
    <row r="98" spans="2:3" ht="18" thickBot="1" x14ac:dyDescent="0.3">
      <c r="B98" s="2" t="s">
        <v>22</v>
      </c>
      <c r="C98" s="2">
        <v>60</v>
      </c>
    </row>
    <row r="99" spans="2:3" ht="18" thickBot="1" x14ac:dyDescent="0.3">
      <c r="B99" s="3" t="s">
        <v>23</v>
      </c>
      <c r="C99" s="3">
        <v>75</v>
      </c>
    </row>
    <row r="109" spans="2:3" ht="15.75" thickBot="1" x14ac:dyDescent="0.3"/>
    <row r="110" spans="2:3" ht="18" thickBot="1" x14ac:dyDescent="0.3">
      <c r="B110" s="1" t="s">
        <v>38</v>
      </c>
      <c r="C110" s="1" t="s">
        <v>39</v>
      </c>
    </row>
    <row r="111" spans="2:3" ht="18" thickBot="1" x14ac:dyDescent="0.3">
      <c r="B111" s="2">
        <v>2019</v>
      </c>
      <c r="C111" s="2">
        <v>500</v>
      </c>
    </row>
    <row r="112" spans="2:3" ht="18" thickBot="1" x14ac:dyDescent="0.3">
      <c r="B112" s="3">
        <v>2020</v>
      </c>
      <c r="C112" s="3">
        <v>560</v>
      </c>
    </row>
    <row r="113" spans="2:3" ht="18" thickBot="1" x14ac:dyDescent="0.3">
      <c r="B113" s="2">
        <v>2021</v>
      </c>
      <c r="C113" s="2">
        <v>620</v>
      </c>
    </row>
    <row r="114" spans="2:3" ht="18" thickBot="1" x14ac:dyDescent="0.3">
      <c r="B114" s="3">
        <v>2022</v>
      </c>
      <c r="C114" s="3">
        <v>690</v>
      </c>
    </row>
    <row r="115" spans="2:3" ht="18" thickBot="1" x14ac:dyDescent="0.3">
      <c r="B115" s="2">
        <v>2023</v>
      </c>
      <c r="C115" s="2">
        <v>760</v>
      </c>
    </row>
    <row r="126" spans="2:3" ht="15.75" thickBot="1" x14ac:dyDescent="0.3"/>
    <row r="127" spans="2:3" ht="18" thickBot="1" x14ac:dyDescent="0.3">
      <c r="B127" s="1" t="s">
        <v>40</v>
      </c>
      <c r="C127" s="1" t="s">
        <v>1</v>
      </c>
    </row>
    <row r="128" spans="2:3" ht="18" thickBot="1" x14ac:dyDescent="0.3">
      <c r="B128" s="2" t="s">
        <v>41</v>
      </c>
      <c r="C128" s="2">
        <v>18</v>
      </c>
    </row>
    <row r="129" spans="2:3" ht="18" thickBot="1" x14ac:dyDescent="0.3">
      <c r="B129" s="3" t="s">
        <v>42</v>
      </c>
      <c r="C129" s="3">
        <v>10</v>
      </c>
    </row>
    <row r="130" spans="2:3" ht="18" thickBot="1" x14ac:dyDescent="0.3">
      <c r="B130" s="2" t="s">
        <v>43</v>
      </c>
      <c r="C130" s="2">
        <v>22</v>
      </c>
    </row>
    <row r="131" spans="2:3" ht="18" thickBot="1" x14ac:dyDescent="0.3">
      <c r="B131" s="3" t="s">
        <v>44</v>
      </c>
      <c r="C131" s="3">
        <v>15</v>
      </c>
    </row>
    <row r="143" spans="2:3" ht="15.75" thickBot="1" x14ac:dyDescent="0.3"/>
    <row r="144" spans="2:3" ht="35.25" thickBot="1" x14ac:dyDescent="0.3">
      <c r="B144" s="1" t="s">
        <v>45</v>
      </c>
      <c r="C144" s="1" t="s">
        <v>33</v>
      </c>
    </row>
    <row r="145" spans="2:3" ht="18" thickBot="1" x14ac:dyDescent="0.3">
      <c r="B145" s="2" t="s">
        <v>46</v>
      </c>
      <c r="C145" s="4">
        <v>0.45</v>
      </c>
    </row>
    <row r="146" spans="2:3" ht="18" thickBot="1" x14ac:dyDescent="0.3">
      <c r="B146" s="3" t="s">
        <v>47</v>
      </c>
      <c r="C146" s="5">
        <v>0.25</v>
      </c>
    </row>
    <row r="147" spans="2:3" ht="18" thickBot="1" x14ac:dyDescent="0.3">
      <c r="B147" s="2" t="s">
        <v>48</v>
      </c>
      <c r="C147" s="4">
        <v>0.2</v>
      </c>
    </row>
    <row r="148" spans="2:3" ht="18" thickBot="1" x14ac:dyDescent="0.3">
      <c r="B148" s="3" t="s">
        <v>31</v>
      </c>
      <c r="C148" s="5">
        <v>0.1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2E85-C1B5-4F77-B49E-1164590D57B7}">
  <dimension ref="A1:F12"/>
  <sheetViews>
    <sheetView workbookViewId="0">
      <selection activeCell="F20" sqref="F20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18.5703125" bestFit="1" customWidth="1"/>
    <col min="4" max="4" width="8.5703125" bestFit="1" customWidth="1"/>
    <col min="5" max="5" width="7.7109375" bestFit="1" customWidth="1"/>
  </cols>
  <sheetData>
    <row r="1" spans="1:6" x14ac:dyDescent="0.25">
      <c r="A1" s="8" t="s">
        <v>49</v>
      </c>
      <c r="B1" s="8" t="s">
        <v>50</v>
      </c>
      <c r="C1" s="8" t="s">
        <v>52</v>
      </c>
      <c r="D1" s="8" t="s">
        <v>51</v>
      </c>
      <c r="E1" s="8" t="s">
        <v>53</v>
      </c>
    </row>
    <row r="2" spans="1:6" x14ac:dyDescent="0.25">
      <c r="A2" s="9">
        <v>1</v>
      </c>
      <c r="B2" s="9" t="s">
        <v>54</v>
      </c>
      <c r="C2" s="10" t="s">
        <v>64</v>
      </c>
      <c r="D2" s="9">
        <v>30</v>
      </c>
      <c r="E2" s="9">
        <v>28905</v>
      </c>
    </row>
    <row r="3" spans="1:6" x14ac:dyDescent="0.25">
      <c r="A3" s="9">
        <v>2</v>
      </c>
      <c r="B3" s="9" t="s">
        <v>55</v>
      </c>
      <c r="C3" s="10" t="s">
        <v>65</v>
      </c>
      <c r="D3" s="9">
        <v>32</v>
      </c>
      <c r="E3" s="9">
        <v>27771</v>
      </c>
    </row>
    <row r="4" spans="1:6" x14ac:dyDescent="0.25">
      <c r="A4" s="9">
        <v>3</v>
      </c>
      <c r="B4" s="9" t="s">
        <v>56</v>
      </c>
      <c r="C4" s="10" t="s">
        <v>66</v>
      </c>
      <c r="D4" s="9">
        <v>26</v>
      </c>
      <c r="E4" s="9">
        <v>30423</v>
      </c>
    </row>
    <row r="5" spans="1:6" x14ac:dyDescent="0.25">
      <c r="A5" s="9">
        <v>4</v>
      </c>
      <c r="B5" s="9" t="s">
        <v>57</v>
      </c>
      <c r="C5" s="10" t="s">
        <v>67</v>
      </c>
      <c r="D5" s="9">
        <v>30</v>
      </c>
      <c r="E5" s="9">
        <v>30849</v>
      </c>
    </row>
    <row r="6" spans="1:6" x14ac:dyDescent="0.25">
      <c r="A6" s="9">
        <v>5</v>
      </c>
      <c r="B6" s="9" t="s">
        <v>58</v>
      </c>
      <c r="C6" s="10" t="s">
        <v>68</v>
      </c>
      <c r="D6" s="9">
        <v>30</v>
      </c>
      <c r="E6" s="9">
        <v>34514</v>
      </c>
    </row>
    <row r="7" spans="1:6" x14ac:dyDescent="0.25">
      <c r="A7" s="9">
        <v>6</v>
      </c>
      <c r="B7" s="9" t="s">
        <v>59</v>
      </c>
      <c r="C7" s="10" t="s">
        <v>69</v>
      </c>
      <c r="D7" s="9">
        <v>31</v>
      </c>
      <c r="E7" s="9">
        <v>33214</v>
      </c>
    </row>
    <row r="8" spans="1:6" x14ac:dyDescent="0.25">
      <c r="A8" s="9">
        <v>7</v>
      </c>
      <c r="B8" s="9" t="s">
        <v>60</v>
      </c>
      <c r="C8" s="10" t="s">
        <v>70</v>
      </c>
      <c r="D8" s="9">
        <v>31</v>
      </c>
      <c r="E8" s="9">
        <v>30643</v>
      </c>
    </row>
    <row r="9" spans="1:6" x14ac:dyDescent="0.25">
      <c r="A9" s="9">
        <v>8</v>
      </c>
      <c r="B9" s="9" t="s">
        <v>61</v>
      </c>
      <c r="C9" s="10" t="s">
        <v>71</v>
      </c>
      <c r="D9" s="9">
        <v>26</v>
      </c>
      <c r="E9" s="9">
        <v>28957</v>
      </c>
      <c r="F9" s="11"/>
    </row>
    <row r="10" spans="1:6" x14ac:dyDescent="0.25">
      <c r="A10" s="9">
        <v>9</v>
      </c>
      <c r="B10" s="9" t="s">
        <v>62</v>
      </c>
      <c r="C10" s="10" t="s">
        <v>72</v>
      </c>
      <c r="D10" s="9">
        <v>26</v>
      </c>
      <c r="E10" s="9">
        <v>27758</v>
      </c>
    </row>
    <row r="11" spans="1:6" x14ac:dyDescent="0.25">
      <c r="A11" s="9">
        <v>10</v>
      </c>
      <c r="B11" s="9" t="s">
        <v>63</v>
      </c>
      <c r="C11" s="10" t="s">
        <v>73</v>
      </c>
      <c r="D11" s="9">
        <v>29</v>
      </c>
      <c r="E11" s="9">
        <v>31124</v>
      </c>
    </row>
    <row r="12" spans="1:6" ht="15.75" x14ac:dyDescent="0.25">
      <c r="A12" s="21" t="s">
        <v>74</v>
      </c>
      <c r="B12" s="21"/>
      <c r="C12" s="21"/>
      <c r="D12" s="12">
        <f>SUM(D2:D11)</f>
        <v>291</v>
      </c>
      <c r="E12" s="12">
        <f>SUM(E2:E11)</f>
        <v>304158</v>
      </c>
    </row>
  </sheetData>
  <mergeCells count="1">
    <mergeCell ref="A12:C12"/>
  </mergeCells>
  <hyperlinks>
    <hyperlink ref="C3" r:id="rId1" xr:uid="{9919F5AB-34E2-4DAF-9C86-73B55A83D742}"/>
    <hyperlink ref="C4" r:id="rId2" xr:uid="{D5AC665B-67BD-4ECE-BEB5-1DF552DEF05D}"/>
    <hyperlink ref="C5" r:id="rId3" xr:uid="{AD290E98-4184-4E5C-9720-8C9F516E375F}"/>
    <hyperlink ref="C6" r:id="rId4" xr:uid="{B4D6FAA5-FA3A-4BB5-80A2-17BB1F33C8C8}"/>
    <hyperlink ref="C7" r:id="rId5" xr:uid="{52326334-384C-45E2-8F77-B2BCCC6873EF}"/>
    <hyperlink ref="C8" r:id="rId6" xr:uid="{3975140A-7B87-464F-8716-6CA1B052EB95}"/>
    <hyperlink ref="C10" r:id="rId7" xr:uid="{CECE7301-A1C3-47A1-B5DF-9867EB1E5E7F}"/>
    <hyperlink ref="C11" r:id="rId8" xr:uid="{9F4F66E5-F7EA-458B-BF79-CA1D168212BF}"/>
    <hyperlink ref="C9" r:id="rId9" xr:uid="{0C495226-40B7-44D5-AD67-17CDB405F305}"/>
  </hyperlinks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3C4C-3461-4FDA-AF3A-21C39D5F388D}">
  <dimension ref="A1:P38"/>
  <sheetViews>
    <sheetView tabSelected="1" topLeftCell="A7" workbookViewId="0">
      <selection activeCell="R26" sqref="R26"/>
    </sheetView>
  </sheetViews>
  <sheetFormatPr defaultRowHeight="15" x14ac:dyDescent="0.25"/>
  <cols>
    <col min="1" max="1" width="13.5703125" bestFit="1" customWidth="1"/>
    <col min="2" max="2" width="11.7109375" bestFit="1" customWidth="1"/>
    <col min="3" max="3" width="10.140625" bestFit="1" customWidth="1"/>
    <col min="4" max="4" width="17.7109375" bestFit="1" customWidth="1"/>
    <col min="5" max="5" width="18.5703125" bestFit="1" customWidth="1"/>
    <col min="6" max="6" width="8.140625" customWidth="1"/>
    <col min="7" max="7" width="7.85546875" bestFit="1" customWidth="1"/>
    <col min="8" max="8" width="11" bestFit="1" customWidth="1"/>
    <col min="9" max="9" width="18.5703125" bestFit="1" customWidth="1"/>
    <col min="10" max="10" width="7.28515625" bestFit="1" customWidth="1"/>
    <col min="11" max="11" width="7.85546875" bestFit="1" customWidth="1"/>
    <col min="12" max="12" width="16.85546875" bestFit="1" customWidth="1"/>
    <col min="13" max="13" width="17.7109375" bestFit="1" customWidth="1"/>
    <col min="14" max="14" width="14.85546875" bestFit="1" customWidth="1"/>
    <col min="15" max="15" width="14.42578125" bestFit="1" customWidth="1"/>
  </cols>
  <sheetData>
    <row r="1" spans="1:15" x14ac:dyDescent="0.25">
      <c r="A1" s="20" t="s">
        <v>49</v>
      </c>
      <c r="B1" s="20" t="s">
        <v>75</v>
      </c>
      <c r="C1" s="20" t="s">
        <v>76</v>
      </c>
      <c r="D1" s="20" t="s">
        <v>87</v>
      </c>
      <c r="E1" s="20" t="s">
        <v>52</v>
      </c>
      <c r="F1" s="20" t="s">
        <v>51</v>
      </c>
      <c r="G1" s="20" t="s">
        <v>53</v>
      </c>
      <c r="H1" s="20" t="s">
        <v>29</v>
      </c>
      <c r="I1" s="20" t="s">
        <v>52</v>
      </c>
      <c r="J1" s="20" t="s">
        <v>104</v>
      </c>
      <c r="K1" s="20" t="s">
        <v>105</v>
      </c>
      <c r="L1" s="20" t="s">
        <v>106</v>
      </c>
    </row>
    <row r="2" spans="1:15" x14ac:dyDescent="0.25">
      <c r="A2" s="9">
        <v>1</v>
      </c>
      <c r="B2" s="9" t="s">
        <v>54</v>
      </c>
      <c r="C2" s="9" t="s">
        <v>77</v>
      </c>
      <c r="D2" s="9" t="str">
        <f>_xlfn.CONCAT(B2, " ",C2)</f>
        <v>Hitesh Utwani</v>
      </c>
      <c r="E2" s="10" t="s">
        <v>102</v>
      </c>
      <c r="F2" s="9">
        <v>30</v>
      </c>
      <c r="G2" s="19">
        <v>28905</v>
      </c>
      <c r="H2" s="6">
        <v>9550956784</v>
      </c>
      <c r="I2" s="10" t="s">
        <v>102</v>
      </c>
      <c r="J2" s="7" t="s">
        <v>108</v>
      </c>
      <c r="K2" s="7" t="s">
        <v>117</v>
      </c>
      <c r="L2" s="7" t="s">
        <v>118</v>
      </c>
    </row>
    <row r="3" spans="1:15" x14ac:dyDescent="0.25">
      <c r="A3" s="9">
        <v>2</v>
      </c>
      <c r="B3" s="9" t="s">
        <v>55</v>
      </c>
      <c r="C3" s="9" t="s">
        <v>78</v>
      </c>
      <c r="D3" s="9" t="str">
        <f t="shared" ref="D3:D11" si="0">_xlfn.CONCAT(B3, " ",C3)</f>
        <v>Prithvi Rijwani</v>
      </c>
      <c r="E3" s="10" t="s">
        <v>65</v>
      </c>
      <c r="F3" s="9">
        <v>32</v>
      </c>
      <c r="G3" s="19">
        <v>27771</v>
      </c>
      <c r="H3" s="6">
        <v>9132730288</v>
      </c>
      <c r="I3" s="10" t="s">
        <v>65</v>
      </c>
      <c r="J3" s="7" t="s">
        <v>109</v>
      </c>
      <c r="K3" s="7" t="s">
        <v>117</v>
      </c>
      <c r="L3" s="7" t="s">
        <v>118</v>
      </c>
    </row>
    <row r="4" spans="1:15" x14ac:dyDescent="0.25">
      <c r="A4" s="9">
        <v>3</v>
      </c>
      <c r="B4" s="9" t="s">
        <v>56</v>
      </c>
      <c r="C4" s="9" t="s">
        <v>79</v>
      </c>
      <c r="D4" s="9" t="str">
        <f t="shared" si="0"/>
        <v>Pankaj Panjwani</v>
      </c>
      <c r="E4" s="10" t="s">
        <v>66</v>
      </c>
      <c r="F4" s="9">
        <v>26</v>
      </c>
      <c r="G4" s="19">
        <v>30423</v>
      </c>
      <c r="H4" s="6">
        <v>8694778853</v>
      </c>
      <c r="I4" s="10" t="s">
        <v>66</v>
      </c>
      <c r="J4" s="7" t="s">
        <v>110</v>
      </c>
      <c r="K4" s="7" t="s">
        <v>117</v>
      </c>
      <c r="L4" s="7" t="s">
        <v>118</v>
      </c>
    </row>
    <row r="5" spans="1:15" x14ac:dyDescent="0.25">
      <c r="A5" s="9">
        <v>4</v>
      </c>
      <c r="B5" s="9" t="s">
        <v>57</v>
      </c>
      <c r="C5" s="9" t="s">
        <v>80</v>
      </c>
      <c r="D5" s="9" t="str">
        <f t="shared" si="0"/>
        <v>Ravindra Chawla</v>
      </c>
      <c r="E5" s="10" t="s">
        <v>67</v>
      </c>
      <c r="F5" s="9">
        <v>30</v>
      </c>
      <c r="G5" s="19">
        <v>30849</v>
      </c>
      <c r="H5" s="6">
        <v>7462182874</v>
      </c>
      <c r="I5" s="10" t="s">
        <v>67</v>
      </c>
      <c r="J5" s="7" t="s">
        <v>111</v>
      </c>
      <c r="K5" s="7" t="s">
        <v>117</v>
      </c>
      <c r="L5" s="7" t="s">
        <v>118</v>
      </c>
    </row>
    <row r="6" spans="1:15" x14ac:dyDescent="0.25">
      <c r="A6" s="9">
        <v>5</v>
      </c>
      <c r="B6" s="9" t="s">
        <v>58</v>
      </c>
      <c r="C6" s="9" t="s">
        <v>81</v>
      </c>
      <c r="D6" s="9" t="str">
        <f t="shared" si="0"/>
        <v>Hetvi Tilwani</v>
      </c>
      <c r="E6" s="10" t="s">
        <v>68</v>
      </c>
      <c r="F6" s="9">
        <v>30</v>
      </c>
      <c r="G6" s="19">
        <v>34514</v>
      </c>
      <c r="H6" s="6">
        <v>7646501152</v>
      </c>
      <c r="I6" s="10" t="s">
        <v>68</v>
      </c>
      <c r="J6" s="7" t="s">
        <v>112</v>
      </c>
      <c r="K6" s="7" t="s">
        <v>117</v>
      </c>
      <c r="L6" s="7" t="s">
        <v>118</v>
      </c>
    </row>
    <row r="7" spans="1:15" x14ac:dyDescent="0.25">
      <c r="A7" s="9">
        <v>6</v>
      </c>
      <c r="B7" s="9" t="s">
        <v>59</v>
      </c>
      <c r="C7" s="9" t="s">
        <v>82</v>
      </c>
      <c r="D7" s="9" t="str">
        <f t="shared" si="0"/>
        <v>Jyoti Patel</v>
      </c>
      <c r="E7" s="10" t="s">
        <v>69</v>
      </c>
      <c r="F7" s="9">
        <v>31</v>
      </c>
      <c r="G7" s="19">
        <v>33214</v>
      </c>
      <c r="H7" s="6">
        <v>9417509665</v>
      </c>
      <c r="I7" s="10" t="s">
        <v>69</v>
      </c>
      <c r="J7" s="7" t="s">
        <v>59</v>
      </c>
      <c r="K7" s="7" t="s">
        <v>117</v>
      </c>
      <c r="L7" s="7" t="s">
        <v>118</v>
      </c>
    </row>
    <row r="8" spans="1:15" x14ac:dyDescent="0.25">
      <c r="A8" s="9">
        <v>7</v>
      </c>
      <c r="B8" s="9" t="s">
        <v>60</v>
      </c>
      <c r="C8" s="9" t="s">
        <v>83</v>
      </c>
      <c r="D8" s="9" t="str">
        <f t="shared" si="0"/>
        <v>Shivam Sharma</v>
      </c>
      <c r="E8" s="10" t="s">
        <v>70</v>
      </c>
      <c r="F8" s="9">
        <v>31</v>
      </c>
      <c r="G8" s="19">
        <v>30643</v>
      </c>
      <c r="H8" s="6">
        <v>9346440300</v>
      </c>
      <c r="I8" s="10" t="s">
        <v>70</v>
      </c>
      <c r="J8" s="7" t="s">
        <v>113</v>
      </c>
      <c r="K8" s="7" t="s">
        <v>117</v>
      </c>
      <c r="L8" s="7" t="s">
        <v>118</v>
      </c>
    </row>
    <row r="9" spans="1:15" x14ac:dyDescent="0.25">
      <c r="A9" s="9">
        <v>8</v>
      </c>
      <c r="B9" s="9" t="s">
        <v>61</v>
      </c>
      <c r="C9" s="9" t="s">
        <v>84</v>
      </c>
      <c r="D9" s="9" t="str">
        <f t="shared" si="0"/>
        <v>Om Ahuja</v>
      </c>
      <c r="E9" s="10" t="s">
        <v>71</v>
      </c>
      <c r="F9" s="9">
        <v>26</v>
      </c>
      <c r="G9" s="19">
        <v>28957</v>
      </c>
      <c r="H9" s="6">
        <v>7627712487</v>
      </c>
      <c r="I9" s="10" t="s">
        <v>71</v>
      </c>
      <c r="J9" s="7" t="s">
        <v>114</v>
      </c>
      <c r="K9" s="7" t="s">
        <v>117</v>
      </c>
      <c r="L9" s="7" t="s">
        <v>118</v>
      </c>
    </row>
    <row r="10" spans="1:15" x14ac:dyDescent="0.25">
      <c r="A10" s="9">
        <v>9</v>
      </c>
      <c r="B10" s="9" t="s">
        <v>62</v>
      </c>
      <c r="C10" s="9" t="s">
        <v>85</v>
      </c>
      <c r="D10" s="9" t="str">
        <f t="shared" si="0"/>
        <v>Donald Macwan</v>
      </c>
      <c r="E10" s="10" t="s">
        <v>72</v>
      </c>
      <c r="F10" s="9">
        <v>26</v>
      </c>
      <c r="G10" s="19">
        <v>27758</v>
      </c>
      <c r="H10" s="6">
        <v>9214000723</v>
      </c>
      <c r="I10" s="10" t="s">
        <v>72</v>
      </c>
      <c r="J10" s="7" t="s">
        <v>115</v>
      </c>
      <c r="K10" s="7" t="s">
        <v>117</v>
      </c>
      <c r="L10" s="7" t="s">
        <v>118</v>
      </c>
    </row>
    <row r="11" spans="1:15" x14ac:dyDescent="0.25">
      <c r="A11" s="9">
        <v>10</v>
      </c>
      <c r="B11" s="9" t="s">
        <v>63</v>
      </c>
      <c r="C11" s="9" t="s">
        <v>86</v>
      </c>
      <c r="D11" s="9" t="str">
        <f t="shared" si="0"/>
        <v>Hardik Panchal</v>
      </c>
      <c r="E11" s="10" t="s">
        <v>73</v>
      </c>
      <c r="F11" s="9">
        <v>29</v>
      </c>
      <c r="G11" s="19">
        <v>31124</v>
      </c>
      <c r="H11" s="6">
        <v>8119982339</v>
      </c>
      <c r="I11" s="10" t="s">
        <v>73</v>
      </c>
      <c r="J11" s="7" t="s">
        <v>116</v>
      </c>
      <c r="K11" s="7" t="s">
        <v>117</v>
      </c>
      <c r="L11" s="7" t="s">
        <v>118</v>
      </c>
    </row>
    <row r="12" spans="1:15" ht="15.75" x14ac:dyDescent="0.25">
      <c r="A12" s="21" t="s">
        <v>74</v>
      </c>
      <c r="B12" s="21"/>
      <c r="C12" s="21"/>
      <c r="D12" s="21"/>
      <c r="E12" s="21"/>
      <c r="F12" s="12">
        <f>SUM(F2:F11)</f>
        <v>291</v>
      </c>
      <c r="G12" s="12">
        <f>SUM(G2:G11)</f>
        <v>304158</v>
      </c>
      <c r="H12" s="17"/>
      <c r="I12" s="18"/>
      <c r="J12" s="18"/>
      <c r="K12" s="18"/>
      <c r="L12" s="18"/>
    </row>
    <row r="15" spans="1:15" x14ac:dyDescent="0.25">
      <c r="M15" s="8" t="s">
        <v>87</v>
      </c>
      <c r="N15" s="8" t="s">
        <v>88</v>
      </c>
      <c r="O15" s="8" t="s">
        <v>89</v>
      </c>
    </row>
    <row r="16" spans="1:15" x14ac:dyDescent="0.25">
      <c r="A16" s="15" t="s">
        <v>101</v>
      </c>
      <c r="B16" s="16" t="s">
        <v>103</v>
      </c>
      <c r="M16" s="9" t="s">
        <v>90</v>
      </c>
      <c r="N16" s="7" t="s">
        <v>54</v>
      </c>
      <c r="O16" s="7" t="s">
        <v>77</v>
      </c>
    </row>
    <row r="17" spans="1:16" x14ac:dyDescent="0.25">
      <c r="A17" s="6" t="s">
        <v>100</v>
      </c>
      <c r="B17" s="16" t="s">
        <v>107</v>
      </c>
      <c r="D17" s="13"/>
      <c r="E17" s="14"/>
      <c r="M17" s="9" t="s">
        <v>91</v>
      </c>
      <c r="N17" s="7" t="s">
        <v>55</v>
      </c>
      <c r="O17" s="7" t="s">
        <v>78</v>
      </c>
    </row>
    <row r="18" spans="1:16" x14ac:dyDescent="0.25">
      <c r="A18" t="str">
        <f>B2&amp;" "&amp;C2</f>
        <v>Hitesh Utwani</v>
      </c>
      <c r="B18" t="s">
        <v>119</v>
      </c>
      <c r="E18" s="14"/>
      <c r="M18" s="9" t="s">
        <v>92</v>
      </c>
      <c r="N18" s="7" t="s">
        <v>56</v>
      </c>
      <c r="O18" s="7" t="s">
        <v>79</v>
      </c>
    </row>
    <row r="19" spans="1:16" x14ac:dyDescent="0.25">
      <c r="A19" t="str">
        <f>B3&amp;" "&amp;C3</f>
        <v>Prithvi Rijwani</v>
      </c>
      <c r="M19" s="9" t="s">
        <v>93</v>
      </c>
      <c r="N19" s="7" t="s">
        <v>57</v>
      </c>
      <c r="O19" s="7" t="s">
        <v>80</v>
      </c>
    </row>
    <row r="20" spans="1:16" x14ac:dyDescent="0.25">
      <c r="A20" t="e" cm="1">
        <f t="array" ref="A20">(cell &amp;" "&amp;cell)</f>
        <v>#NAME?</v>
      </c>
      <c r="M20" s="9" t="s">
        <v>94</v>
      </c>
      <c r="N20" s="7" t="s">
        <v>58</v>
      </c>
      <c r="O20" s="7" t="s">
        <v>81</v>
      </c>
    </row>
    <row r="21" spans="1:16" x14ac:dyDescent="0.25">
      <c r="M21" s="9" t="s">
        <v>95</v>
      </c>
      <c r="N21" s="7" t="s">
        <v>59</v>
      </c>
      <c r="O21" s="7" t="s">
        <v>82</v>
      </c>
    </row>
    <row r="22" spans="1:16" x14ac:dyDescent="0.25">
      <c r="M22" s="9" t="s">
        <v>96</v>
      </c>
      <c r="N22" s="7" t="s">
        <v>60</v>
      </c>
      <c r="O22" s="7" t="s">
        <v>83</v>
      </c>
    </row>
    <row r="23" spans="1:16" x14ac:dyDescent="0.25">
      <c r="M23" s="9" t="s">
        <v>97</v>
      </c>
      <c r="N23" s="7" t="s">
        <v>61</v>
      </c>
      <c r="O23" s="7" t="s">
        <v>84</v>
      </c>
    </row>
    <row r="24" spans="1:16" x14ac:dyDescent="0.25">
      <c r="M24" s="9" t="s">
        <v>98</v>
      </c>
      <c r="N24" s="7" t="s">
        <v>62</v>
      </c>
      <c r="O24" s="7" t="s">
        <v>85</v>
      </c>
    </row>
    <row r="25" spans="1:16" x14ac:dyDescent="0.25">
      <c r="M25" s="9" t="s">
        <v>99</v>
      </c>
      <c r="N25" s="7" t="s">
        <v>63</v>
      </c>
      <c r="O25" s="7" t="s">
        <v>86</v>
      </c>
    </row>
    <row r="28" spans="1:16" x14ac:dyDescent="0.25">
      <c r="M28" s="20" t="s">
        <v>52</v>
      </c>
      <c r="N28" s="20" t="s">
        <v>104</v>
      </c>
      <c r="O28" s="20" t="s">
        <v>105</v>
      </c>
      <c r="P28" s="20" t="s">
        <v>106</v>
      </c>
    </row>
    <row r="29" spans="1:16" x14ac:dyDescent="0.25">
      <c r="M29" s="10" t="s">
        <v>102</v>
      </c>
      <c r="N29" s="7" t="s">
        <v>108</v>
      </c>
      <c r="O29" s="7" t="s">
        <v>120</v>
      </c>
      <c r="P29" s="7" t="s">
        <v>118</v>
      </c>
    </row>
    <row r="30" spans="1:16" x14ac:dyDescent="0.25">
      <c r="M30" s="10" t="s">
        <v>65</v>
      </c>
      <c r="N30" s="7" t="s">
        <v>109</v>
      </c>
      <c r="O30" s="7" t="s">
        <v>120</v>
      </c>
      <c r="P30" s="7" t="s">
        <v>118</v>
      </c>
    </row>
    <row r="31" spans="1:16" x14ac:dyDescent="0.25">
      <c r="M31" s="10" t="s">
        <v>66</v>
      </c>
      <c r="N31" s="7" t="s">
        <v>110</v>
      </c>
      <c r="O31" s="7" t="s">
        <v>120</v>
      </c>
      <c r="P31" s="7" t="s">
        <v>118</v>
      </c>
    </row>
    <row r="32" spans="1:16" x14ac:dyDescent="0.25">
      <c r="M32" s="10" t="s">
        <v>67</v>
      </c>
      <c r="N32" s="7" t="s">
        <v>111</v>
      </c>
      <c r="O32" s="7" t="s">
        <v>120</v>
      </c>
      <c r="P32" s="7" t="s">
        <v>118</v>
      </c>
    </row>
    <row r="33" spans="13:16" x14ac:dyDescent="0.25">
      <c r="M33" s="10" t="s">
        <v>68</v>
      </c>
      <c r="N33" s="7" t="s">
        <v>112</v>
      </c>
      <c r="O33" s="7" t="s">
        <v>120</v>
      </c>
      <c r="P33" s="7" t="s">
        <v>118</v>
      </c>
    </row>
    <row r="34" spans="13:16" x14ac:dyDescent="0.25">
      <c r="M34" s="10" t="s">
        <v>69</v>
      </c>
      <c r="N34" s="7" t="s">
        <v>59</v>
      </c>
      <c r="O34" s="7" t="s">
        <v>120</v>
      </c>
      <c r="P34" s="7" t="s">
        <v>118</v>
      </c>
    </row>
    <row r="35" spans="13:16" x14ac:dyDescent="0.25">
      <c r="M35" s="10" t="s">
        <v>70</v>
      </c>
      <c r="N35" s="7" t="s">
        <v>113</v>
      </c>
      <c r="O35" s="7" t="s">
        <v>120</v>
      </c>
      <c r="P35" s="7" t="s">
        <v>118</v>
      </c>
    </row>
    <row r="36" spans="13:16" x14ac:dyDescent="0.25">
      <c r="M36" s="10" t="s">
        <v>71</v>
      </c>
      <c r="N36" s="7" t="s">
        <v>114</v>
      </c>
      <c r="O36" s="7" t="s">
        <v>120</v>
      </c>
      <c r="P36" s="7" t="s">
        <v>118</v>
      </c>
    </row>
    <row r="37" spans="13:16" x14ac:dyDescent="0.25">
      <c r="M37" s="10" t="s">
        <v>72</v>
      </c>
      <c r="N37" s="7" t="s">
        <v>115</v>
      </c>
      <c r="O37" s="7" t="s">
        <v>120</v>
      </c>
      <c r="P37" s="7" t="s">
        <v>118</v>
      </c>
    </row>
    <row r="38" spans="13:16" x14ac:dyDescent="0.25">
      <c r="M38" s="10" t="s">
        <v>73</v>
      </c>
      <c r="N38" s="7" t="s">
        <v>116</v>
      </c>
      <c r="O38" s="7" t="s">
        <v>120</v>
      </c>
      <c r="P38" s="7" t="s">
        <v>118</v>
      </c>
    </row>
  </sheetData>
  <mergeCells count="1">
    <mergeCell ref="A12:E12"/>
  </mergeCells>
  <hyperlinks>
    <hyperlink ref="E3" r:id="rId1" xr:uid="{96098948-17D6-42C7-BFC6-E2A9E0FB972E}"/>
    <hyperlink ref="E4" r:id="rId2" xr:uid="{11763DCE-C517-4884-8ECD-0B0EF76EB073}"/>
    <hyperlink ref="E5" r:id="rId3" xr:uid="{4370E871-0A31-4E89-BBB4-C24F2BB89C0B}"/>
    <hyperlink ref="E6" r:id="rId4" xr:uid="{302BF85E-43BA-4E1C-BBC9-F0B3135CB9F3}"/>
    <hyperlink ref="E7" r:id="rId5" xr:uid="{8FF0A880-C2CC-4F52-8883-EB4423DE60C4}"/>
    <hyperlink ref="E8" r:id="rId6" xr:uid="{77C28991-6579-4000-AE01-2CE78B076B0D}"/>
    <hyperlink ref="E10" r:id="rId7" xr:uid="{D1DA44A1-3176-46D8-AF28-0C0E5B6C06D8}"/>
    <hyperlink ref="E11" r:id="rId8" xr:uid="{6A83CF62-7D69-456E-8DBC-708AF812E0A8}"/>
    <hyperlink ref="E9" r:id="rId9" xr:uid="{170FB518-D43A-42AA-BE02-DDB1A647855C}"/>
    <hyperlink ref="I3" r:id="rId10" xr:uid="{5E01C84E-33A6-4D19-8EE5-062FF7F49DCF}"/>
    <hyperlink ref="I4" r:id="rId11" xr:uid="{840933B8-2F25-4241-B11E-B79588CD92BF}"/>
    <hyperlink ref="I5" r:id="rId12" xr:uid="{B75F4075-8A34-4962-ADB6-3A17A2ABD5AC}"/>
    <hyperlink ref="I6" r:id="rId13" xr:uid="{A36CD0A2-EC8D-46A3-BFAC-AE2D4118EDC1}"/>
    <hyperlink ref="I7" r:id="rId14" xr:uid="{7A5384B3-A2FC-4CCF-803C-949C129E28CA}"/>
    <hyperlink ref="I8" r:id="rId15" xr:uid="{152B4779-1153-4361-AC6C-F34B4B3DECC9}"/>
    <hyperlink ref="I10" r:id="rId16" xr:uid="{FBFD8DC2-30B6-467D-BFC3-4EE342EABFB0}"/>
    <hyperlink ref="I11" r:id="rId17" xr:uid="{981ACE7E-BBCE-4E7E-9F67-542B722BA798}"/>
    <hyperlink ref="I9" r:id="rId18" xr:uid="{C493E0A8-D465-4260-8A6A-47C0F81426B2}"/>
    <hyperlink ref="I2" r:id="rId19" xr:uid="{5CCC1686-211E-4A3C-930D-F4E25FC09377}"/>
    <hyperlink ref="M30" r:id="rId20" xr:uid="{8A66D525-0A2D-4FF0-B2B0-F9D60F3CF164}"/>
    <hyperlink ref="M31" r:id="rId21" xr:uid="{239F4F50-9062-4445-B1E6-F4677C8B5C5A}"/>
    <hyperlink ref="M32" r:id="rId22" xr:uid="{6CE68404-4713-43C3-9261-3E93FB7E191D}"/>
    <hyperlink ref="M33" r:id="rId23" xr:uid="{9FC9F9A1-0828-47E1-9D06-4AD273E757B4}"/>
    <hyperlink ref="M34" r:id="rId24" xr:uid="{BF434229-50BA-411F-ADF6-3A59FBAA536C}"/>
    <hyperlink ref="M35" r:id="rId25" xr:uid="{2791A0FD-8756-42CB-BA2E-2E970BEAB170}"/>
    <hyperlink ref="M37" r:id="rId26" xr:uid="{38FDE1FF-97C0-43D4-B1B5-ACA94FB1A143}"/>
    <hyperlink ref="M38" r:id="rId27" xr:uid="{1E76F4B8-1086-4F4A-9632-6C7430A2BFAD}"/>
    <hyperlink ref="M36" r:id="rId28" xr:uid="{68AE0951-F12E-4537-B5A2-03B1C1C33A59}"/>
    <hyperlink ref="M29" r:id="rId29" xr:uid="{C93A0FA2-EEFE-40E1-A84F-10B4FDA384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ASDC8</dc:creator>
  <cp:lastModifiedBy>ASDC8</cp:lastModifiedBy>
  <dcterms:created xsi:type="dcterms:W3CDTF">2026-01-17T15:54:01Z</dcterms:created>
  <dcterms:modified xsi:type="dcterms:W3CDTF">2026-01-18T07:14:52Z</dcterms:modified>
</cp:coreProperties>
</file>