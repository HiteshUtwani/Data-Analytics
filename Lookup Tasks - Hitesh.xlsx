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A0ECB30-FBDB-4221-99F5-173A35B0D4A3}" xr6:coauthVersionLast="47" xr6:coauthVersionMax="47" xr10:uidLastSave="{00000000-0000-0000-0000-000000000000}"/>
  <bookViews>
    <workbookView xWindow="-120" yWindow="-120" windowWidth="29040" windowHeight="15720" xr2:uid="{B3BD14AE-A34F-42D5-B27C-2355ED97ED4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8" i="1" l="1"/>
  <c r="V15" i="1"/>
  <c r="V12" i="1"/>
  <c r="V9" i="1"/>
  <c r="V6" i="1"/>
  <c r="R29" i="1"/>
  <c r="S29" i="1" s="1"/>
  <c r="V2" i="1"/>
  <c r="E14" i="1"/>
  <c r="R23" i="1"/>
  <c r="R21" i="1"/>
  <c r="R15" i="1"/>
  <c r="R19" i="1"/>
  <c r="R3" i="1"/>
  <c r="R6" i="1"/>
  <c r="R12" i="1"/>
  <c r="R9" i="1"/>
</calcChain>
</file>

<file path=xl/sharedStrings.xml><?xml version="1.0" encoding="utf-8"?>
<sst xmlns="http://schemas.openxmlformats.org/spreadsheetml/2006/main" count="111" uniqueCount="60">
  <si>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</si>
  <si>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</si>
  <si>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</si>
  <si>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</si>
  <si>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</si>
  <si>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</si>
  <si>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</si>
  <si>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</si>
  <si>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</si>
  <si>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</si>
  <si>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</si>
  <si>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</si>
  <si>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</si>
  <si>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</si>
  <si>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</si>
  <si>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</si>
  <si>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</si>
  <si>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</si>
  <si>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</si>
  <si>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</si>
  <si>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</si>
  <si>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</si>
  <si>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</si>
  <si>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</si>
  <si>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</si>
  <si>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</si>
  <si>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</si>
  <si>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</si>
  <si>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</si>
  <si>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</si>
  <si>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</si>
  <si>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</si>
  <si>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</si>
  <si>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Sheet: Department_Bonus (Horizontal Table)</t>
  </si>
  <si>
    <t>Bonus %</t>
  </si>
  <si>
    <t>Sheet: Search_Input</t>
  </si>
  <si>
    <t>Practice Tasks (15)</t>
  </si>
  <si>
    <t>VLOOKUP Tasks (1–6)</t>
  </si>
  <si>
    <r>
      <t>1. Find the </t>
    </r>
    <r>
      <rPr>
        <sz val="12"/>
        <color rgb="FF1F2328"/>
        <rFont val="Segoe UI"/>
        <family val="2"/>
      </rPr>
      <t>Name</t>
    </r>
    <r>
      <rPr>
        <sz val="12"/>
        <color rgb="FF1F2328"/>
        <rFont val="Segoe UI"/>
        <family val="2"/>
      </rPr>
      <t> of employee using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 from </t>
    </r>
    <r>
      <rPr>
        <sz val="10"/>
        <color rgb="FF1F2328"/>
        <rFont val="Consolas"/>
        <family val="3"/>
      </rPr>
      <t>Search_Input</t>
    </r>
    <r>
      <rPr>
        <sz val="12"/>
        <color rgb="FF1F2328"/>
        <rFont val="Segoe UI"/>
        <family val="2"/>
      </rPr>
      <t>.</t>
    </r>
  </si>
  <si>
    <r>
      <t>2. Find the </t>
    </r>
    <r>
      <rPr>
        <sz val="12"/>
        <color rgb="FF1F2328"/>
        <rFont val="Segoe UI"/>
        <family val="2"/>
      </rPr>
      <t>Department</t>
    </r>
    <r>
      <rPr>
        <sz val="12"/>
        <color rgb="FF1F2328"/>
        <rFont val="Segoe UI"/>
        <family val="2"/>
      </rPr>
      <t> of employee with ID </t>
    </r>
    <r>
      <rPr>
        <sz val="12"/>
        <color rgb="FF1F2328"/>
        <rFont val="Segoe UI"/>
        <family val="2"/>
      </rPr>
      <t>E103</t>
    </r>
    <r>
      <rPr>
        <sz val="12"/>
        <color rgb="FF1F2328"/>
        <rFont val="Segoe UI"/>
        <family val="2"/>
      </rPr>
      <t>.</t>
    </r>
  </si>
  <si>
    <r>
      <t>3. Find the </t>
    </r>
    <r>
      <rPr>
        <sz val="12"/>
        <color rgb="FF1F2328"/>
        <rFont val="Segoe UI"/>
        <family val="2"/>
      </rPr>
      <t>Salary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Neha Singh</t>
    </r>
    <r>
      <rPr>
        <sz val="12"/>
        <color rgb="FF1F2328"/>
        <rFont val="Segoe UI"/>
        <family val="2"/>
      </rPr>
      <t> using VLOOKUP.</t>
    </r>
  </si>
  <si>
    <r>
      <t>4. Get the </t>
    </r>
    <r>
      <rPr>
        <sz val="12"/>
        <color rgb="FF1F2328"/>
        <rFont val="Segoe UI"/>
        <family val="2"/>
      </rPr>
      <t>Location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E107</t>
    </r>
    <r>
      <rPr>
        <sz val="12"/>
        <color rgb="FF1F2328"/>
        <rFont val="Segoe UI"/>
        <family val="2"/>
      </rPr>
      <t>.</t>
    </r>
  </si>
  <si>
    <r>
      <t>5. If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 is not found, display </t>
    </r>
    <r>
      <rPr>
        <sz val="12"/>
        <color rgb="FF1F2328"/>
        <rFont val="Segoe UI"/>
        <family val="2"/>
      </rPr>
      <t>"Not Found"</t>
    </r>
    <r>
      <rPr>
        <sz val="12"/>
        <color rgb="FF1F2328"/>
        <rFont val="Segoe UI"/>
        <family val="2"/>
      </rPr>
      <t>.</t>
    </r>
  </si>
  <si>
    <r>
      <t>6. Find the </t>
    </r>
    <r>
      <rPr>
        <sz val="12"/>
        <color rgb="FF1F2328"/>
        <rFont val="Segoe UI"/>
        <family val="2"/>
      </rPr>
      <t>JoiningYear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E101</t>
    </r>
    <r>
      <rPr>
        <sz val="12"/>
        <color rgb="FF1F2328"/>
        <rFont val="Segoe UI"/>
        <family val="2"/>
      </rPr>
      <t>.</t>
    </r>
  </si>
  <si>
    <t>HLOOKUP Tasks (7–10)</t>
  </si>
  <si>
    <r>
      <t>7. Find the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for </t>
    </r>
    <r>
      <rPr>
        <sz val="12"/>
        <color rgb="FF1F2328"/>
        <rFont val="Segoe UI"/>
        <family val="2"/>
      </rPr>
      <t>IT</t>
    </r>
    <r>
      <rPr>
        <sz val="12"/>
        <color rgb="FF1F2328"/>
        <rFont val="Segoe UI"/>
        <family val="2"/>
      </rPr>
      <t> department.</t>
    </r>
  </si>
  <si>
    <r>
      <t>8. Find the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for </t>
    </r>
    <r>
      <rPr>
        <sz val="12"/>
        <color rgb="FF1F2328"/>
        <rFont val="Segoe UI"/>
        <family val="2"/>
      </rPr>
      <t>Finance</t>
    </r>
    <r>
      <rPr>
        <sz val="12"/>
        <color rgb="FF1F2328"/>
        <rFont val="Segoe UI"/>
        <family val="2"/>
      </rPr>
      <t> department.</t>
    </r>
  </si>
  <si>
    <r>
      <t>9. Calculate </t>
    </r>
    <r>
      <rPr>
        <sz val="12"/>
        <color rgb="FF1F2328"/>
        <rFont val="Segoe UI"/>
        <family val="2"/>
      </rPr>
      <t>Bonus Amount</t>
    </r>
    <r>
      <rPr>
        <sz val="12"/>
        <color rgb="FF1F2328"/>
        <rFont val="Segoe UI"/>
        <family val="2"/>
      </rPr>
      <t> for employee </t>
    </r>
    <r>
      <rPr>
        <sz val="12"/>
        <color rgb="FF1F2328"/>
        <rFont val="Segoe UI"/>
        <family val="2"/>
      </rPr>
      <t>E104</t>
    </r>
  </si>
  <si>
    <t>(Bonus Amount = Salary × Bonus %).</t>
  </si>
  <si>
    <r>
      <t>10. If department is invalid, display </t>
    </r>
    <r>
      <rPr>
        <sz val="12"/>
        <color rgb="FF1F2328"/>
        <rFont val="Segoe UI"/>
        <family val="2"/>
      </rPr>
      <t>"No Bonus Data"</t>
    </r>
    <r>
      <rPr>
        <sz val="12"/>
        <color rgb="FF1F2328"/>
        <rFont val="Segoe UI"/>
        <family val="2"/>
      </rPr>
      <t>.</t>
    </r>
  </si>
  <si>
    <t>XLOOKUP Tasks (11–15)</t>
  </si>
  <si>
    <r>
      <t>11. Find </t>
    </r>
    <r>
      <rPr>
        <sz val="12"/>
        <color rgb="FF1F2328"/>
        <rFont val="Segoe UI"/>
        <family val="2"/>
      </rPr>
      <t>Salary</t>
    </r>
    <r>
      <rPr>
        <sz val="12"/>
        <color rgb="FF1F2328"/>
        <rFont val="Segoe UI"/>
        <family val="2"/>
      </rPr>
      <t> using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.</t>
    </r>
  </si>
  <si>
    <r>
      <t>12. Find </t>
    </r>
    <r>
      <rPr>
        <sz val="12"/>
        <color rgb="FF1F2328"/>
        <rFont val="Segoe UI"/>
        <family val="2"/>
      </rPr>
      <t>Department</t>
    </r>
    <r>
      <rPr>
        <sz val="12"/>
        <color rgb="FF1F2328"/>
        <rFont val="Segoe UI"/>
        <family val="2"/>
      </rPr>
      <t> using </t>
    </r>
    <r>
      <rPr>
        <sz val="12"/>
        <color rgb="FF1F2328"/>
        <rFont val="Segoe UI"/>
        <family val="2"/>
      </rPr>
      <t>Employee Name</t>
    </r>
    <r>
      <rPr>
        <sz val="12"/>
        <color rgb="FF1F2328"/>
        <rFont val="Segoe UI"/>
        <family val="2"/>
      </rPr>
      <t>.</t>
    </r>
  </si>
  <si>
    <r>
      <t>13. Fetch </t>
    </r>
    <r>
      <rPr>
        <sz val="12"/>
        <color rgb="FF1F2328"/>
        <rFont val="Segoe UI"/>
        <family val="2"/>
      </rPr>
      <t>Location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Rohit Verma</t>
    </r>
    <r>
      <rPr>
        <sz val="12"/>
        <color rgb="FF1F2328"/>
        <rFont val="Segoe UI"/>
        <family val="2"/>
      </rPr>
      <t>.</t>
    </r>
  </si>
  <si>
    <r>
      <t>14. If </t>
    </r>
    <r>
      <rPr>
        <sz val="10"/>
        <color rgb="FF1F2328"/>
        <rFont val="Consolas"/>
        <family val="3"/>
      </rPr>
      <t>EmployeeID = E999</t>
    </r>
    <r>
      <rPr>
        <sz val="12"/>
        <color rgb="FF1F2328"/>
        <rFont val="Segoe UI"/>
        <family val="2"/>
      </rPr>
      <t>, return </t>
    </r>
    <r>
      <rPr>
        <sz val="12"/>
        <color rgb="FF1F2328"/>
        <rFont val="Segoe UI"/>
        <family val="2"/>
      </rPr>
      <t>"Employee Not Found"</t>
    </r>
    <r>
      <rPr>
        <sz val="12"/>
        <color rgb="FF1F2328"/>
        <rFont val="Segoe UI"/>
        <family val="2"/>
      </rPr>
      <t>.</t>
    </r>
  </si>
  <si>
    <r>
      <t>15. Find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using XLOOKUP from </t>
    </r>
    <r>
      <rPr>
        <sz val="10"/>
        <color rgb="FF1F2328"/>
        <rFont val="Consolas"/>
        <family val="3"/>
      </rPr>
      <t>Department_Bonus</t>
    </r>
    <r>
      <rPr>
        <sz val="12"/>
        <color rgb="FF1F2328"/>
        <rFont val="Segoe UI"/>
        <family val="2"/>
      </rPr>
      <t> (horizontal lookup).</t>
    </r>
  </si>
  <si>
    <t>E109</t>
  </si>
  <si>
    <t>Bonus</t>
  </si>
  <si>
    <t>L&amp;D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</si>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</sst>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0"/>
      <color rgb="FF1F2328"/>
      <name val="Consolas"/>
      <family val="3"/>
    </font>
    <font>
      <b/>
      <sz val="12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/>
      <right/>
      <top/>
      <bottom style="medium">
        <color rgb="FFD1D9E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/>
    <xf numFmtId="9" fontId="0" fillId="2" borderId="1" xfId="0" applyNumberForma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9" fontId="0" fillId="0" borderId="2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49D2-A79F-43BB-BB5A-1FFFED2FAEAE}">
  <dimension ref="A1:V29"/>
  <sheetViews>
    <sheetView tabSelected="1" workbookViewId="0">
      <selection activeCell="V18" sqref="V18"/>
    </sheetView>
  </sheetViews>
  <sheetFormatPr defaultRowHeight="15" x14ac:dyDescent="0.25"/>
  <cols>
    <col min="1" max="1" width="13.28515625" bestFit="1" customWidth="1"/>
    <col min="2" max="2" width="12" bestFit="1" customWidth="1"/>
    <col min="3" max="3" width="13.28515625" bestFit="1" customWidth="1"/>
    <col min="4" max="4" width="10.5703125" bestFit="1" customWidth="1"/>
    <col min="5" max="5" width="8.85546875" bestFit="1" customWidth="1"/>
    <col min="6" max="6" width="12.7109375" bestFit="1" customWidth="1"/>
    <col min="14" max="14" width="12.85546875" customWidth="1"/>
    <col min="15" max="15" width="20.140625" customWidth="1"/>
    <col min="16" max="16" width="5" customWidth="1"/>
    <col min="17" max="18" width="15.140625" bestFit="1" customWidth="1"/>
    <col min="21" max="21" width="13.28515625" bestFit="1" customWidth="1"/>
    <col min="22" max="22" width="19.85546875" bestFit="1" customWidth="1"/>
  </cols>
  <sheetData>
    <row r="1" spans="1:22" ht="15.7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11" t="s">
        <v>5</v>
      </c>
      <c r="G1" s="14"/>
    </row>
    <row r="2" spans="1:22" ht="15.75" thickBot="1" x14ac:dyDescent="0.3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  <c r="P2">
        <v>1</v>
      </c>
      <c r="Q2" s="13" t="s">
        <v>0</v>
      </c>
      <c r="R2" s="13" t="s">
        <v>1</v>
      </c>
      <c r="T2">
        <v>10</v>
      </c>
      <c r="U2" s="17" t="s">
        <v>58</v>
      </c>
      <c r="V2" s="16" t="str">
        <f>IFERROR(HLOOKUP(U2,A12:F13,2,0),"No Bonus Data")</f>
        <v>No Bonus Data</v>
      </c>
    </row>
    <row r="3" spans="1:22" ht="18" thickBot="1" x14ac:dyDescent="0.3">
      <c r="A3" s="5" t="s">
        <v>10</v>
      </c>
      <c r="B3" s="6" t="s">
        <v>11</v>
      </c>
      <c r="C3" s="6" t="s">
        <v>12</v>
      </c>
      <c r="D3" s="6" t="s">
        <v>13</v>
      </c>
      <c r="E3" s="5">
        <v>52000</v>
      </c>
      <c r="F3" s="5">
        <v>2018</v>
      </c>
      <c r="J3" s="20" t="s">
        <v>36</v>
      </c>
      <c r="Q3" s="10" t="s">
        <v>22</v>
      </c>
      <c r="R3" s="10" t="str">
        <f>VLOOKUP(Q3,A1:B9,2,0)</f>
        <v>Aman Kumar</v>
      </c>
    </row>
    <row r="4" spans="1:22" ht="18" thickBot="1" x14ac:dyDescent="0.3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  <c r="J4" s="20" t="s">
        <v>37</v>
      </c>
    </row>
    <row r="5" spans="1:22" ht="18" thickBot="1" x14ac:dyDescent="0.3">
      <c r="A5" s="5" t="s">
        <v>18</v>
      </c>
      <c r="B5" s="6" t="s">
        <v>19</v>
      </c>
      <c r="C5" s="6" t="s">
        <v>20</v>
      </c>
      <c r="D5" s="6" t="s">
        <v>21</v>
      </c>
      <c r="E5" s="5">
        <v>58000</v>
      </c>
      <c r="F5" s="5">
        <v>2017</v>
      </c>
      <c r="J5" s="9" t="s">
        <v>38</v>
      </c>
      <c r="P5">
        <v>2</v>
      </c>
      <c r="Q5" s="13" t="s">
        <v>0</v>
      </c>
      <c r="R5" s="13" t="s">
        <v>2</v>
      </c>
      <c r="T5">
        <v>11</v>
      </c>
      <c r="U5" s="13" t="s">
        <v>0</v>
      </c>
      <c r="V5" s="13" t="s">
        <v>4</v>
      </c>
    </row>
    <row r="6" spans="1:22" ht="18" thickBot="1" x14ac:dyDescent="0.3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  <c r="J6" s="9" t="s">
        <v>39</v>
      </c>
      <c r="Q6" s="10" t="s">
        <v>14</v>
      </c>
      <c r="R6" s="10" t="str">
        <f>VLOOKUP(Q6,A1:C9,3,0)</f>
        <v>IT</v>
      </c>
      <c r="U6" s="10" t="s">
        <v>22</v>
      </c>
      <c r="V6" s="10">
        <f>_xlfn.XLOOKUP(U6,A1:A9,E1:E9)</f>
        <v>48000</v>
      </c>
    </row>
    <row r="7" spans="1:22" ht="18" thickBot="1" x14ac:dyDescent="0.3">
      <c r="A7" s="5" t="s">
        <v>25</v>
      </c>
      <c r="B7" s="6" t="s">
        <v>26</v>
      </c>
      <c r="C7" s="6" t="s">
        <v>16</v>
      </c>
      <c r="D7" s="6" t="s">
        <v>27</v>
      </c>
      <c r="E7" s="5">
        <v>62000</v>
      </c>
      <c r="F7" s="5">
        <v>2019</v>
      </c>
      <c r="J7" s="9" t="s">
        <v>40</v>
      </c>
    </row>
    <row r="8" spans="1:22" ht="18" thickBot="1" x14ac:dyDescent="0.3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  <c r="J8" s="9" t="s">
        <v>41</v>
      </c>
      <c r="P8">
        <v>3</v>
      </c>
      <c r="Q8" s="13" t="s">
        <v>1</v>
      </c>
      <c r="R8" s="13" t="s">
        <v>4</v>
      </c>
      <c r="T8">
        <v>12</v>
      </c>
      <c r="U8" s="13" t="s">
        <v>1</v>
      </c>
      <c r="V8" s="13" t="s">
        <v>2</v>
      </c>
    </row>
    <row r="9" spans="1:22" ht="18" thickBot="1" x14ac:dyDescent="0.3">
      <c r="A9" s="5" t="s">
        <v>31</v>
      </c>
      <c r="B9" s="6" t="s">
        <v>32</v>
      </c>
      <c r="C9" s="6" t="s">
        <v>12</v>
      </c>
      <c r="D9" s="6" t="s">
        <v>17</v>
      </c>
      <c r="E9" s="5">
        <v>54000</v>
      </c>
      <c r="F9" s="5">
        <v>2016</v>
      </c>
      <c r="J9" s="9" t="s">
        <v>42</v>
      </c>
      <c r="Q9" s="10" t="s">
        <v>19</v>
      </c>
      <c r="R9" s="10">
        <f>VLOOKUP(Q9,B1:E9,4,0)</f>
        <v>58000</v>
      </c>
      <c r="U9" s="10" t="s">
        <v>23</v>
      </c>
      <c r="V9" s="10" t="str">
        <f>_xlfn.XLOOKUP(U9,B1:B9,C1:C9)</f>
        <v>Marketing</v>
      </c>
    </row>
    <row r="10" spans="1:22" ht="17.25" x14ac:dyDescent="0.25">
      <c r="A10" s="7"/>
      <c r="B10" s="7"/>
      <c r="C10" s="7"/>
      <c r="D10" s="7"/>
      <c r="E10" s="7"/>
      <c r="F10" s="7"/>
      <c r="J10" s="9" t="s">
        <v>43</v>
      </c>
    </row>
    <row r="11" spans="1:22" ht="15.75" thickBot="1" x14ac:dyDescent="0.3">
      <c r="A11" s="18" t="s">
        <v>33</v>
      </c>
      <c r="B11" s="19"/>
      <c r="C11" s="19"/>
      <c r="D11" s="19"/>
      <c r="E11" s="19"/>
      <c r="F11" s="19"/>
      <c r="J11" s="7"/>
      <c r="P11">
        <v>4</v>
      </c>
      <c r="Q11" s="13" t="s">
        <v>0</v>
      </c>
      <c r="R11" s="13" t="s">
        <v>3</v>
      </c>
      <c r="T11">
        <v>13</v>
      </c>
      <c r="U11" s="13" t="s">
        <v>1</v>
      </c>
      <c r="V11" s="13" t="s">
        <v>3</v>
      </c>
    </row>
    <row r="12" spans="1:22" ht="18" thickBot="1" x14ac:dyDescent="0.3">
      <c r="A12" s="2" t="s">
        <v>2</v>
      </c>
      <c r="B12" s="1" t="s">
        <v>8</v>
      </c>
      <c r="C12" s="1" t="s">
        <v>12</v>
      </c>
      <c r="D12" s="1" t="s">
        <v>16</v>
      </c>
      <c r="E12" s="1" t="s">
        <v>20</v>
      </c>
      <c r="F12" s="1" t="s">
        <v>24</v>
      </c>
      <c r="J12" s="20" t="s">
        <v>44</v>
      </c>
      <c r="K12" s="20"/>
      <c r="Q12" s="10" t="s">
        <v>28</v>
      </c>
      <c r="R12" s="10" t="str">
        <f>VLOOKUP(Q12,A1:D9,4)</f>
        <v>Hyderabad</v>
      </c>
      <c r="U12" s="10" t="s">
        <v>15</v>
      </c>
      <c r="V12" s="10" t="str">
        <f>_xlfn.XLOOKUP(U12,B1:B9,D1:D9)</f>
        <v>Bangalore</v>
      </c>
    </row>
    <row r="13" spans="1:22" ht="18" thickBot="1" x14ac:dyDescent="0.3">
      <c r="A13" s="4" t="s">
        <v>34</v>
      </c>
      <c r="B13" s="8">
        <v>0.1</v>
      </c>
      <c r="C13" s="8">
        <v>0.08</v>
      </c>
      <c r="D13" s="8">
        <v>0.12</v>
      </c>
      <c r="E13" s="8">
        <v>0.15</v>
      </c>
      <c r="F13" s="8">
        <v>0.09</v>
      </c>
      <c r="J13" s="9" t="s">
        <v>45</v>
      </c>
    </row>
    <row r="14" spans="1:22" ht="17.25" x14ac:dyDescent="0.25">
      <c r="A14" s="7"/>
      <c r="B14" s="7"/>
      <c r="C14" s="7"/>
      <c r="D14" s="7"/>
      <c r="E14" s="7">
        <f>E5*E13</f>
        <v>8700</v>
      </c>
      <c r="F14" s="7"/>
      <c r="J14" s="9" t="s">
        <v>46</v>
      </c>
      <c r="P14">
        <v>5</v>
      </c>
      <c r="Q14" s="13" t="s">
        <v>0</v>
      </c>
      <c r="R14" s="13" t="s">
        <v>1</v>
      </c>
      <c r="T14">
        <v>14</v>
      </c>
      <c r="U14" s="13" t="s">
        <v>0</v>
      </c>
      <c r="V14" s="13" t="s">
        <v>1</v>
      </c>
    </row>
    <row r="15" spans="1:22" ht="18" thickBot="1" x14ac:dyDescent="0.3">
      <c r="A15" s="18" t="s">
        <v>35</v>
      </c>
      <c r="B15" s="19"/>
      <c r="C15" s="19"/>
      <c r="D15" s="19"/>
      <c r="E15" s="19"/>
      <c r="F15" s="19"/>
      <c r="J15" s="9" t="s">
        <v>47</v>
      </c>
      <c r="Q15" s="10" t="s">
        <v>56</v>
      </c>
      <c r="R15" s="10" t="str">
        <f>IFERROR(VLOOKUP(Q15,A1:B9,2,),"value not found")</f>
        <v>value not found</v>
      </c>
      <c r="U15" s="10" t="s">
        <v>59</v>
      </c>
      <c r="V15" s="10" t="str">
        <f>IFERROR(_xlfn.XLOOKUP(U15,A1:A9,B1:B9),"Employee Not Found")</f>
        <v>Employee Not Found</v>
      </c>
    </row>
    <row r="16" spans="1:22" ht="18" thickBot="1" x14ac:dyDescent="0.3">
      <c r="A16" s="2" t="s">
        <v>0</v>
      </c>
      <c r="B16" s="2" t="s">
        <v>1</v>
      </c>
      <c r="C16" s="7"/>
      <c r="D16" s="7"/>
      <c r="E16" s="7"/>
      <c r="F16" s="7"/>
      <c r="J16" s="9" t="s">
        <v>48</v>
      </c>
    </row>
    <row r="17" spans="1:22" ht="18" thickBot="1" x14ac:dyDescent="0.3">
      <c r="A17" s="4" t="s">
        <v>18</v>
      </c>
      <c r="B17" s="4" t="s">
        <v>15</v>
      </c>
      <c r="C17" s="7"/>
      <c r="D17" s="7"/>
      <c r="E17" s="7"/>
      <c r="F17" s="7"/>
      <c r="J17" s="9" t="s">
        <v>49</v>
      </c>
      <c r="T17">
        <v>15</v>
      </c>
      <c r="U17" s="13" t="s">
        <v>2</v>
      </c>
      <c r="V17" s="13" t="s">
        <v>34</v>
      </c>
    </row>
    <row r="18" spans="1:22" ht="15.75" thickBot="1" x14ac:dyDescent="0.3">
      <c r="F18" s="1"/>
      <c r="J18" s="7"/>
      <c r="P18">
        <v>6</v>
      </c>
      <c r="Q18" s="13" t="s">
        <v>0</v>
      </c>
      <c r="R18" s="13" t="s">
        <v>5</v>
      </c>
      <c r="U18" s="10" t="s">
        <v>24</v>
      </c>
      <c r="V18" s="21">
        <f>_xlfn.XLOOKUP(U18,A12:F12,A13:F13)</f>
        <v>0.09</v>
      </c>
    </row>
    <row r="19" spans="1:22" ht="17.25" x14ac:dyDescent="0.25">
      <c r="J19" s="20" t="s">
        <v>50</v>
      </c>
      <c r="Q19" s="10" t="s">
        <v>6</v>
      </c>
      <c r="R19" s="10">
        <f>VLOOKUP(Q19,A1:F9,6,0)</f>
        <v>2019</v>
      </c>
    </row>
    <row r="20" spans="1:22" ht="17.25" x14ac:dyDescent="0.25">
      <c r="J20" s="9" t="s">
        <v>51</v>
      </c>
    </row>
    <row r="21" spans="1:22" ht="17.25" x14ac:dyDescent="0.25">
      <c r="J21" s="9" t="s">
        <v>52</v>
      </c>
      <c r="P21">
        <v>7</v>
      </c>
      <c r="Q21" s="17" t="s">
        <v>16</v>
      </c>
      <c r="R21" s="16">
        <f>HLOOKUP(Q21,A12:D13,2,)</f>
        <v>0.12</v>
      </c>
    </row>
    <row r="22" spans="1:22" ht="17.25" x14ac:dyDescent="0.25">
      <c r="J22" s="9" t="s">
        <v>53</v>
      </c>
      <c r="Q22" s="15"/>
      <c r="R22" s="15"/>
    </row>
    <row r="23" spans="1:22" ht="17.25" x14ac:dyDescent="0.25">
      <c r="J23" s="9" t="s">
        <v>54</v>
      </c>
      <c r="P23">
        <v>8</v>
      </c>
      <c r="Q23" s="17" t="s">
        <v>20</v>
      </c>
      <c r="R23" s="16">
        <f>HLOOKUP(Q23,A12:E13,2,)</f>
        <v>0.15</v>
      </c>
    </row>
    <row r="24" spans="1:22" ht="17.25" x14ac:dyDescent="0.25">
      <c r="J24" s="9" t="s">
        <v>55</v>
      </c>
      <c r="Q24" s="15"/>
      <c r="R24" s="15"/>
    </row>
    <row r="28" spans="1:22" x14ac:dyDescent="0.25">
      <c r="P28">
        <v>9</v>
      </c>
      <c r="Q28" s="13" t="s">
        <v>0</v>
      </c>
      <c r="R28" s="13" t="s">
        <v>2</v>
      </c>
      <c r="S28" s="13" t="s">
        <v>57</v>
      </c>
    </row>
    <row r="29" spans="1:22" x14ac:dyDescent="0.25">
      <c r="Q29" s="10" t="s">
        <v>18</v>
      </c>
      <c r="R29" s="10" t="str">
        <f>VLOOKUP(Q29,A1:C9,3,0)</f>
        <v>Finance</v>
      </c>
      <c r="S29" s="10">
        <f>VLOOKUP(Q29,A1:E9,5,0)*HLOOKUP(R29,A12:F13,2,0)</f>
        <v>8700</v>
      </c>
    </row>
  </sheetData>
  <mergeCells count="2">
    <mergeCell ref="A11:F11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0E78-1E4C-4936-911B-E2B20A2BF3C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ASDC10</dc:creator>
  <cp:lastModifiedBy>ASDC10</cp:lastModifiedBy>
  <dcterms:created xsi:type="dcterms:W3CDTF">2026-02-01T04:51:40Z</dcterms:created>
  <dcterms:modified xsi:type="dcterms:W3CDTF">2026-02-01T06:22:26Z</dcterms:modified>
</cp:coreProperties>
</file>