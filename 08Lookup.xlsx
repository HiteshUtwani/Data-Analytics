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tesh Git hub\Data-Analytics\Data-Analytics\"/>
    </mc:Choice>
  </mc:AlternateContent>
  <xr:revisionPtr revIDLastSave="0" documentId="8_{37B75649-B169-4A86-A53E-99A2FE5AB8FA}" xr6:coauthVersionLast="47" xr6:coauthVersionMax="47" xr10:uidLastSave="{00000000-0000-0000-0000-000000000000}"/>
  <bookViews>
    <workbookView xWindow="-120" yWindow="-120" windowWidth="29040" windowHeight="15720" activeTab="3" xr2:uid="{10ABFD25-C829-4BCB-A1FA-568D0083736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4" l="1"/>
  <c r="C2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</calcChain>
</file>

<file path=xl/sharedStrings.xml><?xml version="1.0" encoding="utf-8"?>
<sst xmlns="http://schemas.openxmlformats.org/spreadsheetml/2006/main" count="152" uniqueCount="134">
  <si>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</si>
  <si>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</si>
  <si>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</si>
  <si>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</si>
  <si>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</si>
  <si>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</si>
  <si>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</si>
  <si>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</si>
  <si>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</si>
  <si>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</si>
  <si>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</si>
  <si>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</si>
  <si>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</si>
  <si>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</si>
  <si>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</si>
  <si>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</si>
  <si>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</si>
  <si>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</si>
  <si>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</si>
  <si>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Format header row (Bold, Color)</t>
  </si>
  <si>
    <t>Salary → Currency (₹)</t>
  </si>
  <si>
    <t>Date → Date format</t>
  </si>
  <si>
    <t>Apply borders and auto-fit columns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</si>
  <si>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</si>
  <si>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</si>
  <si>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</si>
  <si>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</si>
  <si>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</si>
  <si>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</si>
  <si>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</si>
  <si>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</si>
  <si>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</si>
  <si>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</si>
  <si>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</si>
  <si>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</si>
  <si>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</si>
  <si>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</si>
  <si>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</si>
  <si>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Hitesh Utwani</t>
  </si>
  <si>
    <t>Pankaj Chawla</t>
  </si>
  <si>
    <t xml:space="preserve">Vishwakarma </t>
  </si>
  <si>
    <t>Vishwajeet</t>
  </si>
  <si>
    <t>Omprakash Mehra</t>
  </si>
  <si>
    <t>Siddhart Chaturvedi</t>
  </si>
  <si>
    <t>Vijay Patnaik</t>
  </si>
  <si>
    <t>Sachin Tichkule</t>
  </si>
  <si>
    <t>Jaya Patel</t>
  </si>
  <si>
    <t>Joya Akhtar</t>
  </si>
  <si>
    <t>Hrithik Roshan</t>
  </si>
  <si>
    <t>Amitabh Bachhan</t>
  </si>
  <si>
    <t>Farah Ali khan</t>
  </si>
  <si>
    <t>Juhi Chawla</t>
  </si>
  <si>
    <t>Katrina Kaif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</si>
  <si>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</si>
  <si>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</si>
  <si>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</si>
  <si>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</si>
  <si>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</si>
  <si>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</si>
  <si>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</si>
  <si>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</si>
  <si>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</si>
  <si>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</si>
  <si>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</si>
  <si>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</si>
  <si>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</si>
  <si>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</si>
  <si>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</si>
  <si>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</si>
  <si>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r>
      <t>Add title </t>
    </r>
    <r>
      <rPr>
        <sz val="12"/>
        <color rgb="FF1F2328"/>
        <rFont val="Segoe UI"/>
        <family val="2"/>
      </rPr>
      <t>Monthly Sales Report</t>
    </r>
  </si>
  <si>
    <t>Merge &amp; center title</t>
  </si>
  <si>
    <t>Wrap text for product names</t>
  </si>
  <si>
    <t>Currency format for sales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</si>
  <si>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</si>
  <si>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</si>
  <si>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</si>
  <si>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</si>
  <si>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</si>
  <si>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</si>
  <si>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</si>
  <si>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</si>
  <si>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</si>
  <si>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</si>
  <si>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</si>
  <si>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</si>
  <si>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</t>
  </si>
  <si>
    <t>Calculate Percentage</t>
  </si>
  <si>
    <t>Format percentage column</t>
  </si>
  <si>
    <t>Apply cell styles to headers</t>
  </si>
  <si>
    <t>Hitesh</t>
  </si>
  <si>
    <t>Pankaj</t>
  </si>
  <si>
    <t>Omprakash</t>
  </si>
  <si>
    <t>Jeetu</t>
  </si>
  <si>
    <t>Neetu</t>
  </si>
  <si>
    <t>Jiya</t>
  </si>
  <si>
    <t>Vinita</t>
  </si>
  <si>
    <t>Katrina</t>
  </si>
  <si>
    <t>Juhi</t>
  </si>
  <si>
    <t>Kajal</t>
  </si>
  <si>
    <t>Sara</t>
  </si>
  <si>
    <t>Kirti</t>
  </si>
  <si>
    <t>Anushka</t>
  </si>
  <si>
    <t>Sakshi</t>
  </si>
  <si>
    <t>Nikita</t>
  </si>
  <si>
    <t>Total</t>
  </si>
  <si>
    <t>Marks Obtained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</si>
  <si>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</si>
  <si>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</si>
  <si>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</si>
  <si>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</si>
  <si>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</si>
  <si>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</si>
  <si>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</si>
  <si>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</t>
  </si>
  <si>
    <t>Find Average Sales</t>
  </si>
  <si>
    <t>Identify Highest &amp; Lowest Sale</t>
  </si>
  <si>
    <t>Total Sales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</si>
  <si>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</si>
  <si>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</si>
  <si>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</si>
  <si>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</si>
  <si>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</si>
  <si>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</si>
  <si>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</si>
  <si>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</si>
  <si>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</si>
  <si>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</si>
  <si>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</si>
  <si>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</si>
  <si>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</si>
  <si>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</si>
  <si>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</si>
  <si>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Avg Sales</t>
  </si>
  <si>
    <t>Sales Amount highest to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</si>
</sst>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₹&quot;\ #,##0.00"/>
    <numFmt numFmtId="172" formatCode="[$-14009]dd\ mmmm\ yyyy;@"/>
  </numFmts>
  <fonts count="7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2"/>
      <color theme="0"/>
      <name val="Segoe UI"/>
      <family val="2"/>
    </font>
    <font>
      <sz val="13.75"/>
      <color rgb="FF1F2328"/>
      <name val="Segoe UI"/>
      <family val="2"/>
    </font>
    <font>
      <b/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0" fontId="2" fillId="2" borderId="1" xfId="0" applyNumberFormat="1" applyFont="1" applyFill="1" applyBorder="1" applyAlignment="1">
      <alignment horizontal="center" vertical="center" wrapText="1"/>
    </xf>
    <xf numFmtId="172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172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left" vertical="center"/>
    </xf>
    <xf numFmtId="170" fontId="2" fillId="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5BA6-4391-4B52-8DDD-5E45CE68BBE6}">
  <dimension ref="A1:J21"/>
  <sheetViews>
    <sheetView workbookViewId="0">
      <selection activeCell="B5" sqref="B5:B21"/>
    </sheetView>
  </sheetViews>
  <sheetFormatPr defaultRowHeight="15" x14ac:dyDescent="0.25"/>
  <cols>
    <col min="1" max="1" width="15.42578125" customWidth="1"/>
    <col min="2" max="2" width="21.42578125" bestFit="1" customWidth="1"/>
    <col min="3" max="3" width="14.7109375" bestFit="1" customWidth="1"/>
    <col min="4" max="4" width="14.85546875" bestFit="1" customWidth="1"/>
    <col min="5" max="5" width="21.28515625" bestFit="1" customWidth="1"/>
    <col min="10" max="10" width="9" bestFit="1" customWidth="1"/>
  </cols>
  <sheetData>
    <row r="1" spans="1:10" ht="1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ht="17.25" x14ac:dyDescent="0.25">
      <c r="A2" s="4" t="s">
        <v>5</v>
      </c>
      <c r="B2" s="4" t="s">
        <v>6</v>
      </c>
      <c r="C2" s="4" t="s">
        <v>7</v>
      </c>
      <c r="D2" s="5">
        <v>32000</v>
      </c>
      <c r="E2" s="6">
        <v>44573</v>
      </c>
    </row>
    <row r="3" spans="1:10" ht="17.25" x14ac:dyDescent="0.25">
      <c r="A3" s="7" t="s">
        <v>8</v>
      </c>
      <c r="B3" s="7" t="s">
        <v>9</v>
      </c>
      <c r="C3" s="7" t="s">
        <v>10</v>
      </c>
      <c r="D3" s="8">
        <v>45000</v>
      </c>
      <c r="E3" s="9">
        <v>44260</v>
      </c>
      <c r="J3" s="1" t="s">
        <v>19</v>
      </c>
    </row>
    <row r="4" spans="1:10" ht="17.25" x14ac:dyDescent="0.25">
      <c r="A4" s="4" t="s">
        <v>11</v>
      </c>
      <c r="B4" s="4" t="s">
        <v>12</v>
      </c>
      <c r="C4" s="4" t="s">
        <v>13</v>
      </c>
      <c r="D4" s="5">
        <v>38000</v>
      </c>
      <c r="E4" s="6">
        <v>44030</v>
      </c>
      <c r="J4" s="1" t="s">
        <v>20</v>
      </c>
    </row>
    <row r="5" spans="1:10" ht="17.25" x14ac:dyDescent="0.25">
      <c r="A5" s="7" t="s">
        <v>14</v>
      </c>
      <c r="B5" s="7" t="s">
        <v>15</v>
      </c>
      <c r="C5" s="7" t="s">
        <v>10</v>
      </c>
      <c r="D5" s="8">
        <v>52000</v>
      </c>
      <c r="E5" s="9">
        <v>43779</v>
      </c>
      <c r="J5" s="1" t="s">
        <v>21</v>
      </c>
    </row>
    <row r="6" spans="1:10" ht="17.25" x14ac:dyDescent="0.25">
      <c r="A6" s="4" t="s">
        <v>16</v>
      </c>
      <c r="B6" s="4" t="s">
        <v>17</v>
      </c>
      <c r="C6" s="4" t="s">
        <v>18</v>
      </c>
      <c r="D6" s="8">
        <v>30000</v>
      </c>
      <c r="E6" s="6">
        <v>45102</v>
      </c>
      <c r="J6" s="1" t="s">
        <v>22</v>
      </c>
    </row>
    <row r="7" spans="1:10" ht="17.25" x14ac:dyDescent="0.25">
      <c r="A7" s="4" t="s">
        <v>23</v>
      </c>
      <c r="B7" s="7" t="s">
        <v>38</v>
      </c>
      <c r="C7" s="4" t="s">
        <v>7</v>
      </c>
      <c r="D7" s="8">
        <v>50852</v>
      </c>
      <c r="E7" s="6">
        <v>44040</v>
      </c>
    </row>
    <row r="8" spans="1:10" ht="17.25" x14ac:dyDescent="0.25">
      <c r="A8" s="4" t="s">
        <v>24</v>
      </c>
      <c r="B8" s="4" t="s">
        <v>39</v>
      </c>
      <c r="C8" s="7" t="s">
        <v>10</v>
      </c>
      <c r="D8" s="8">
        <v>56725</v>
      </c>
      <c r="E8" s="9">
        <v>43677</v>
      </c>
    </row>
    <row r="9" spans="1:10" ht="17.25" x14ac:dyDescent="0.25">
      <c r="A9" s="4" t="s">
        <v>25</v>
      </c>
      <c r="B9" s="7" t="s">
        <v>40</v>
      </c>
      <c r="C9" s="4" t="s">
        <v>13</v>
      </c>
      <c r="D9" s="8">
        <v>136589</v>
      </c>
      <c r="E9" s="9">
        <v>44423</v>
      </c>
    </row>
    <row r="10" spans="1:10" ht="17.25" x14ac:dyDescent="0.25">
      <c r="A10" s="4" t="s">
        <v>26</v>
      </c>
      <c r="B10" s="4" t="s">
        <v>41</v>
      </c>
      <c r="C10" s="4" t="s">
        <v>18</v>
      </c>
      <c r="D10" s="8">
        <v>129069</v>
      </c>
      <c r="E10" s="6">
        <v>45477</v>
      </c>
    </row>
    <row r="11" spans="1:10" ht="17.25" x14ac:dyDescent="0.25">
      <c r="A11" s="4" t="s">
        <v>27</v>
      </c>
      <c r="B11" s="7" t="s">
        <v>42</v>
      </c>
      <c r="C11" s="4" t="s">
        <v>7</v>
      </c>
      <c r="D11" s="8">
        <v>115160</v>
      </c>
      <c r="E11" s="6">
        <v>43780</v>
      </c>
    </row>
    <row r="12" spans="1:10" ht="17.25" x14ac:dyDescent="0.25">
      <c r="A12" s="4" t="s">
        <v>28</v>
      </c>
      <c r="B12" s="4" t="s">
        <v>43</v>
      </c>
      <c r="C12" s="7" t="s">
        <v>10</v>
      </c>
      <c r="D12" s="8">
        <v>60828</v>
      </c>
      <c r="E12" s="6">
        <v>45265</v>
      </c>
    </row>
    <row r="13" spans="1:10" ht="17.25" x14ac:dyDescent="0.25">
      <c r="A13" s="4" t="s">
        <v>29</v>
      </c>
      <c r="B13" s="7" t="s">
        <v>44</v>
      </c>
      <c r="C13" s="4" t="s">
        <v>13</v>
      </c>
      <c r="D13" s="8">
        <v>140262</v>
      </c>
      <c r="E13" s="6">
        <v>44095</v>
      </c>
    </row>
    <row r="14" spans="1:10" ht="17.25" x14ac:dyDescent="0.25">
      <c r="A14" s="4" t="s">
        <v>30</v>
      </c>
      <c r="B14" s="4" t="s">
        <v>45</v>
      </c>
      <c r="C14" s="4" t="s">
        <v>18</v>
      </c>
      <c r="D14" s="8">
        <v>135037</v>
      </c>
      <c r="E14" s="6">
        <v>45911</v>
      </c>
    </row>
    <row r="15" spans="1:10" ht="17.25" x14ac:dyDescent="0.25">
      <c r="A15" s="4" t="s">
        <v>31</v>
      </c>
      <c r="B15" s="7" t="s">
        <v>46</v>
      </c>
      <c r="C15" s="4" t="s">
        <v>7</v>
      </c>
      <c r="D15" s="8">
        <v>135107</v>
      </c>
      <c r="E15" s="9">
        <v>42582</v>
      </c>
    </row>
    <row r="16" spans="1:10" ht="17.25" x14ac:dyDescent="0.25">
      <c r="A16" s="4" t="s">
        <v>32</v>
      </c>
      <c r="B16" s="4" t="s">
        <v>47</v>
      </c>
      <c r="C16" s="7" t="s">
        <v>10</v>
      </c>
      <c r="D16" s="8">
        <v>71031</v>
      </c>
      <c r="E16" s="9">
        <v>44423</v>
      </c>
    </row>
    <row r="17" spans="1:5" ht="17.25" x14ac:dyDescent="0.25">
      <c r="A17" s="4" t="s">
        <v>33</v>
      </c>
      <c r="B17" s="7" t="s">
        <v>48</v>
      </c>
      <c r="C17" s="4" t="s">
        <v>13</v>
      </c>
      <c r="D17" s="8">
        <v>144500</v>
      </c>
      <c r="E17" s="6">
        <v>45102</v>
      </c>
    </row>
    <row r="18" spans="1:5" ht="17.25" x14ac:dyDescent="0.25">
      <c r="A18" s="4" t="s">
        <v>34</v>
      </c>
      <c r="B18" s="4" t="s">
        <v>49</v>
      </c>
      <c r="C18" s="4" t="s">
        <v>18</v>
      </c>
      <c r="D18" s="8">
        <v>53052</v>
      </c>
      <c r="E18" s="6">
        <v>44040</v>
      </c>
    </row>
    <row r="19" spans="1:5" ht="17.25" x14ac:dyDescent="0.25">
      <c r="A19" s="4" t="s">
        <v>35</v>
      </c>
      <c r="B19" s="7" t="s">
        <v>50</v>
      </c>
      <c r="C19" s="7" t="s">
        <v>10</v>
      </c>
      <c r="D19" s="8">
        <v>87472</v>
      </c>
      <c r="E19" s="9">
        <v>43677</v>
      </c>
    </row>
    <row r="20" spans="1:5" ht="17.25" x14ac:dyDescent="0.25">
      <c r="A20" s="4" t="s">
        <v>36</v>
      </c>
      <c r="B20" s="4" t="s">
        <v>51</v>
      </c>
      <c r="C20" s="4" t="s">
        <v>13</v>
      </c>
      <c r="D20" s="8">
        <v>108918</v>
      </c>
      <c r="E20" s="9">
        <v>44788</v>
      </c>
    </row>
    <row r="21" spans="1:5" ht="17.25" x14ac:dyDescent="0.25">
      <c r="A21" s="4" t="s">
        <v>37</v>
      </c>
      <c r="B21" s="7" t="s">
        <v>52</v>
      </c>
      <c r="C21" s="4" t="s">
        <v>18</v>
      </c>
      <c r="D21" s="8">
        <v>128699</v>
      </c>
      <c r="E21" s="6">
        <v>46231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68FA-C14C-4057-ACF0-4A359113498B}">
  <dimension ref="A1:I6"/>
  <sheetViews>
    <sheetView workbookViewId="0">
      <selection activeCell="C14" sqref="C14"/>
    </sheetView>
  </sheetViews>
  <sheetFormatPr defaultRowHeight="15" x14ac:dyDescent="0.25"/>
  <cols>
    <col min="1" max="1" width="16.5703125" customWidth="1"/>
    <col min="3" max="3" width="16.85546875" bestFit="1" customWidth="1"/>
    <col min="4" max="4" width="15" bestFit="1" customWidth="1"/>
  </cols>
  <sheetData>
    <row r="1" spans="1:9" ht="17.25" x14ac:dyDescent="0.25">
      <c r="A1" s="14" t="s">
        <v>73</v>
      </c>
      <c r="B1" s="15"/>
      <c r="C1" s="15"/>
      <c r="D1" s="16"/>
    </row>
    <row r="2" spans="1:9" ht="17.25" x14ac:dyDescent="0.25">
      <c r="A2" s="2" t="s">
        <v>53</v>
      </c>
      <c r="B2" s="2" t="s">
        <v>54</v>
      </c>
      <c r="C2" s="2" t="s">
        <v>55</v>
      </c>
      <c r="D2" s="2" t="s">
        <v>56</v>
      </c>
    </row>
    <row r="3" spans="1:9" ht="34.5" x14ac:dyDescent="0.25">
      <c r="A3" s="10" t="s">
        <v>57</v>
      </c>
      <c r="B3" s="11" t="s">
        <v>58</v>
      </c>
      <c r="C3" s="17">
        <v>45000</v>
      </c>
      <c r="D3" s="11" t="s">
        <v>59</v>
      </c>
      <c r="I3" s="1" t="s">
        <v>69</v>
      </c>
    </row>
    <row r="4" spans="1:9" ht="34.5" x14ac:dyDescent="0.25">
      <c r="A4" s="12" t="s">
        <v>60</v>
      </c>
      <c r="B4" s="13" t="s">
        <v>61</v>
      </c>
      <c r="C4" s="18">
        <v>1200</v>
      </c>
      <c r="D4" s="13" t="s">
        <v>62</v>
      </c>
      <c r="I4" s="1" t="s">
        <v>70</v>
      </c>
    </row>
    <row r="5" spans="1:9" ht="34.5" x14ac:dyDescent="0.25">
      <c r="A5" s="10" t="s">
        <v>63</v>
      </c>
      <c r="B5" s="11" t="s">
        <v>64</v>
      </c>
      <c r="C5" s="17">
        <v>18000</v>
      </c>
      <c r="D5" s="11" t="s">
        <v>65</v>
      </c>
      <c r="I5" s="1" t="s">
        <v>71</v>
      </c>
    </row>
    <row r="6" spans="1:9" ht="51.75" x14ac:dyDescent="0.25">
      <c r="A6" s="12" t="s">
        <v>66</v>
      </c>
      <c r="B6" s="13" t="s">
        <v>67</v>
      </c>
      <c r="C6" s="18">
        <v>62000</v>
      </c>
      <c r="D6" s="13" t="s">
        <v>68</v>
      </c>
      <c r="I6" s="1" t="s">
        <v>72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1100-70CE-4A39-A58E-3D659B73E1ED}">
  <dimension ref="A1:N21"/>
  <sheetViews>
    <sheetView workbookViewId="0">
      <selection activeCell="N5" sqref="N5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3" customWidth="1"/>
    <col min="7" max="7" width="9.42578125" customWidth="1"/>
    <col min="8" max="8" width="13.85546875" bestFit="1" customWidth="1"/>
  </cols>
  <sheetData>
    <row r="1" spans="1:14" ht="34.5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4" t="s">
        <v>105</v>
      </c>
      <c r="G1" s="2" t="s">
        <v>104</v>
      </c>
      <c r="H1" s="2" t="s">
        <v>79</v>
      </c>
    </row>
    <row r="2" spans="1:14" ht="21" x14ac:dyDescent="0.25">
      <c r="A2" s="22">
        <v>1</v>
      </c>
      <c r="B2" s="22" t="s">
        <v>80</v>
      </c>
      <c r="C2" s="22">
        <v>78</v>
      </c>
      <c r="D2" s="22">
        <v>82</v>
      </c>
      <c r="E2" s="22">
        <v>74</v>
      </c>
      <c r="F2" s="22">
        <f>SUM(C2:E2)</f>
        <v>234</v>
      </c>
      <c r="G2" s="22">
        <v>300</v>
      </c>
      <c r="H2" s="25">
        <f>F2/G2*100%</f>
        <v>0.78</v>
      </c>
      <c r="N2" s="19" t="s">
        <v>85</v>
      </c>
    </row>
    <row r="3" spans="1:14" ht="17.25" x14ac:dyDescent="0.25">
      <c r="A3" s="23">
        <v>2</v>
      </c>
      <c r="B3" s="22" t="s">
        <v>81</v>
      </c>
      <c r="C3" s="22">
        <v>65</v>
      </c>
      <c r="D3" s="22">
        <v>70</v>
      </c>
      <c r="E3" s="22">
        <v>68</v>
      </c>
      <c r="F3" s="22">
        <f t="shared" ref="F3:F21" si="0">SUM(C3:E3)</f>
        <v>203</v>
      </c>
      <c r="G3" s="22">
        <v>300</v>
      </c>
      <c r="H3" s="25">
        <f t="shared" ref="H3:H21" si="1">F3/G3*100%</f>
        <v>0.67666666666666664</v>
      </c>
      <c r="N3" s="20" t="s">
        <v>86</v>
      </c>
    </row>
    <row r="4" spans="1:14" ht="17.25" x14ac:dyDescent="0.25">
      <c r="A4" s="22">
        <v>3</v>
      </c>
      <c r="B4" s="22" t="s">
        <v>82</v>
      </c>
      <c r="C4" s="22">
        <v>90</v>
      </c>
      <c r="D4" s="22">
        <v>88</v>
      </c>
      <c r="E4" s="22">
        <v>92</v>
      </c>
      <c r="F4" s="22">
        <f t="shared" si="0"/>
        <v>270</v>
      </c>
      <c r="G4" s="22">
        <v>300</v>
      </c>
      <c r="H4" s="25">
        <f t="shared" si="1"/>
        <v>0.9</v>
      </c>
      <c r="N4" s="20" t="s">
        <v>87</v>
      </c>
    </row>
    <row r="5" spans="1:14" ht="17.25" x14ac:dyDescent="0.25">
      <c r="A5" s="23">
        <v>4</v>
      </c>
      <c r="B5" s="22" t="s">
        <v>83</v>
      </c>
      <c r="C5" s="22">
        <v>35</v>
      </c>
      <c r="D5" s="22">
        <v>40</v>
      </c>
      <c r="E5" s="22">
        <v>38</v>
      </c>
      <c r="F5" s="22">
        <f t="shared" si="0"/>
        <v>113</v>
      </c>
      <c r="G5" s="22">
        <v>300</v>
      </c>
      <c r="H5" s="25">
        <f t="shared" si="1"/>
        <v>0.37666666666666665</v>
      </c>
      <c r="N5" s="20" t="s">
        <v>88</v>
      </c>
    </row>
    <row r="6" spans="1:14" ht="17.25" x14ac:dyDescent="0.25">
      <c r="A6" s="22">
        <v>5</v>
      </c>
      <c r="B6" s="22" t="s">
        <v>84</v>
      </c>
      <c r="C6" s="22">
        <v>55</v>
      </c>
      <c r="D6" s="22">
        <v>60</v>
      </c>
      <c r="E6" s="22">
        <v>58</v>
      </c>
      <c r="F6" s="22">
        <f t="shared" si="0"/>
        <v>173</v>
      </c>
      <c r="G6" s="22">
        <v>300</v>
      </c>
      <c r="H6" s="25">
        <f t="shared" si="1"/>
        <v>0.57666666666666666</v>
      </c>
    </row>
    <row r="7" spans="1:14" ht="17.25" x14ac:dyDescent="0.25">
      <c r="A7" s="23">
        <v>6</v>
      </c>
      <c r="B7" s="22" t="s">
        <v>89</v>
      </c>
      <c r="C7" s="22">
        <v>63</v>
      </c>
      <c r="D7" s="22">
        <v>60</v>
      </c>
      <c r="E7" s="22">
        <v>71</v>
      </c>
      <c r="F7" s="22">
        <f t="shared" si="0"/>
        <v>194</v>
      </c>
      <c r="G7" s="22">
        <v>300</v>
      </c>
      <c r="H7" s="25">
        <f t="shared" si="1"/>
        <v>0.64666666666666661</v>
      </c>
    </row>
    <row r="8" spans="1:14" ht="17.25" x14ac:dyDescent="0.25">
      <c r="A8" s="22">
        <v>7</v>
      </c>
      <c r="B8" s="22" t="s">
        <v>90</v>
      </c>
      <c r="C8" s="22">
        <v>63</v>
      </c>
      <c r="D8" s="22">
        <v>76</v>
      </c>
      <c r="E8" s="22">
        <v>76</v>
      </c>
      <c r="F8" s="22">
        <f t="shared" si="0"/>
        <v>215</v>
      </c>
      <c r="G8" s="22">
        <v>300</v>
      </c>
      <c r="H8" s="25">
        <f t="shared" si="1"/>
        <v>0.71666666666666667</v>
      </c>
    </row>
    <row r="9" spans="1:14" ht="17.25" x14ac:dyDescent="0.25">
      <c r="A9" s="23">
        <v>8</v>
      </c>
      <c r="B9" s="22" t="s">
        <v>91</v>
      </c>
      <c r="C9" s="22">
        <v>99</v>
      </c>
      <c r="D9" s="22">
        <v>76</v>
      </c>
      <c r="E9" s="22">
        <v>83</v>
      </c>
      <c r="F9" s="22">
        <f t="shared" si="0"/>
        <v>258</v>
      </c>
      <c r="G9" s="22">
        <v>300</v>
      </c>
      <c r="H9" s="25">
        <f t="shared" si="1"/>
        <v>0.86</v>
      </c>
    </row>
    <row r="10" spans="1:14" ht="17.25" x14ac:dyDescent="0.25">
      <c r="A10" s="22">
        <v>9</v>
      </c>
      <c r="B10" s="22" t="s">
        <v>92</v>
      </c>
      <c r="C10" s="22">
        <v>76</v>
      </c>
      <c r="D10" s="22">
        <v>78</v>
      </c>
      <c r="E10" s="22">
        <v>68</v>
      </c>
      <c r="F10" s="22">
        <f t="shared" si="0"/>
        <v>222</v>
      </c>
      <c r="G10" s="22">
        <v>300</v>
      </c>
      <c r="H10" s="25">
        <f t="shared" si="1"/>
        <v>0.74</v>
      </c>
    </row>
    <row r="11" spans="1:14" ht="17.25" x14ac:dyDescent="0.25">
      <c r="A11" s="23">
        <v>10</v>
      </c>
      <c r="B11" s="22" t="s">
        <v>93</v>
      </c>
      <c r="C11" s="22">
        <v>94</v>
      </c>
      <c r="D11" s="22">
        <v>62</v>
      </c>
      <c r="E11" s="22">
        <v>68</v>
      </c>
      <c r="F11" s="22">
        <f t="shared" si="0"/>
        <v>224</v>
      </c>
      <c r="G11" s="22">
        <v>300</v>
      </c>
      <c r="H11" s="25">
        <f t="shared" si="1"/>
        <v>0.7466666666666667</v>
      </c>
    </row>
    <row r="12" spans="1:14" ht="17.25" x14ac:dyDescent="0.25">
      <c r="A12" s="22">
        <v>11</v>
      </c>
      <c r="B12" s="22" t="s">
        <v>94</v>
      </c>
      <c r="C12" s="22">
        <v>91</v>
      </c>
      <c r="D12" s="22">
        <v>73</v>
      </c>
      <c r="E12" s="22">
        <v>65</v>
      </c>
      <c r="F12" s="22">
        <f t="shared" si="0"/>
        <v>229</v>
      </c>
      <c r="G12" s="22">
        <v>300</v>
      </c>
      <c r="H12" s="25">
        <f t="shared" si="1"/>
        <v>0.76333333333333331</v>
      </c>
    </row>
    <row r="13" spans="1:14" ht="17.25" x14ac:dyDescent="0.25">
      <c r="A13" s="23">
        <v>12</v>
      </c>
      <c r="B13" s="22" t="s">
        <v>95</v>
      </c>
      <c r="C13" s="22">
        <v>71</v>
      </c>
      <c r="D13" s="22">
        <v>61</v>
      </c>
      <c r="E13" s="22">
        <v>69</v>
      </c>
      <c r="F13" s="22">
        <f t="shared" si="0"/>
        <v>201</v>
      </c>
      <c r="G13" s="22">
        <v>300</v>
      </c>
      <c r="H13" s="25">
        <f t="shared" si="1"/>
        <v>0.67</v>
      </c>
    </row>
    <row r="14" spans="1:14" ht="17.25" x14ac:dyDescent="0.25">
      <c r="A14" s="22">
        <v>13</v>
      </c>
      <c r="B14" s="22" t="s">
        <v>96</v>
      </c>
      <c r="C14" s="22">
        <v>72</v>
      </c>
      <c r="D14" s="22">
        <v>88</v>
      </c>
      <c r="E14" s="22">
        <v>71</v>
      </c>
      <c r="F14" s="22">
        <f t="shared" si="0"/>
        <v>231</v>
      </c>
      <c r="G14" s="22">
        <v>300</v>
      </c>
      <c r="H14" s="25">
        <f t="shared" si="1"/>
        <v>0.77</v>
      </c>
    </row>
    <row r="15" spans="1:14" ht="17.25" x14ac:dyDescent="0.25">
      <c r="A15" s="23">
        <v>14</v>
      </c>
      <c r="B15" s="22" t="s">
        <v>97</v>
      </c>
      <c r="C15" s="22">
        <v>90</v>
      </c>
      <c r="D15" s="22">
        <v>82</v>
      </c>
      <c r="E15" s="22">
        <v>82</v>
      </c>
      <c r="F15" s="22">
        <f t="shared" si="0"/>
        <v>254</v>
      </c>
      <c r="G15" s="22">
        <v>300</v>
      </c>
      <c r="H15" s="25">
        <f t="shared" si="1"/>
        <v>0.84666666666666668</v>
      </c>
    </row>
    <row r="16" spans="1:14" ht="17.25" x14ac:dyDescent="0.25">
      <c r="A16" s="22">
        <v>15</v>
      </c>
      <c r="B16" s="22" t="s">
        <v>98</v>
      </c>
      <c r="C16" s="22">
        <v>65</v>
      </c>
      <c r="D16" s="22">
        <v>74</v>
      </c>
      <c r="E16" s="22">
        <v>66</v>
      </c>
      <c r="F16" s="22">
        <f t="shared" si="0"/>
        <v>205</v>
      </c>
      <c r="G16" s="22">
        <v>300</v>
      </c>
      <c r="H16" s="25">
        <f t="shared" si="1"/>
        <v>0.68333333333333335</v>
      </c>
    </row>
    <row r="17" spans="1:8" ht="17.25" x14ac:dyDescent="0.25">
      <c r="A17" s="23">
        <v>16</v>
      </c>
      <c r="B17" s="22" t="s">
        <v>99</v>
      </c>
      <c r="C17" s="22">
        <v>97</v>
      </c>
      <c r="D17" s="22">
        <v>76</v>
      </c>
      <c r="E17" s="22">
        <v>78</v>
      </c>
      <c r="F17" s="22">
        <f t="shared" si="0"/>
        <v>251</v>
      </c>
      <c r="G17" s="22">
        <v>300</v>
      </c>
      <c r="H17" s="25">
        <f t="shared" si="1"/>
        <v>0.83666666666666667</v>
      </c>
    </row>
    <row r="18" spans="1:8" ht="17.25" x14ac:dyDescent="0.25">
      <c r="A18" s="22">
        <v>17</v>
      </c>
      <c r="B18" s="22" t="s">
        <v>100</v>
      </c>
      <c r="C18" s="22">
        <v>59</v>
      </c>
      <c r="D18" s="22">
        <v>57</v>
      </c>
      <c r="E18" s="22">
        <v>80</v>
      </c>
      <c r="F18" s="22">
        <f t="shared" si="0"/>
        <v>196</v>
      </c>
      <c r="G18" s="22">
        <v>300</v>
      </c>
      <c r="H18" s="25">
        <f t="shared" si="1"/>
        <v>0.65333333333333332</v>
      </c>
    </row>
    <row r="19" spans="1:8" ht="17.25" x14ac:dyDescent="0.25">
      <c r="A19" s="23">
        <v>18</v>
      </c>
      <c r="B19" s="22" t="s">
        <v>101</v>
      </c>
      <c r="C19" s="22">
        <v>85</v>
      </c>
      <c r="D19" s="22">
        <v>82</v>
      </c>
      <c r="E19" s="22">
        <v>69</v>
      </c>
      <c r="F19" s="22">
        <f t="shared" si="0"/>
        <v>236</v>
      </c>
      <c r="G19" s="22">
        <v>300</v>
      </c>
      <c r="H19" s="25">
        <f t="shared" si="1"/>
        <v>0.78666666666666663</v>
      </c>
    </row>
    <row r="20" spans="1:8" ht="17.25" x14ac:dyDescent="0.25">
      <c r="A20" s="22">
        <v>19</v>
      </c>
      <c r="B20" s="22" t="s">
        <v>102</v>
      </c>
      <c r="C20" s="22">
        <v>95</v>
      </c>
      <c r="D20" s="22">
        <v>61</v>
      </c>
      <c r="E20" s="22">
        <v>74</v>
      </c>
      <c r="F20" s="22">
        <f t="shared" si="0"/>
        <v>230</v>
      </c>
      <c r="G20" s="22">
        <v>300</v>
      </c>
      <c r="H20" s="25">
        <f t="shared" si="1"/>
        <v>0.76666666666666672</v>
      </c>
    </row>
    <row r="21" spans="1:8" ht="17.25" x14ac:dyDescent="0.25">
      <c r="A21" s="23">
        <v>20</v>
      </c>
      <c r="B21" s="22" t="s">
        <v>103</v>
      </c>
      <c r="C21" s="22">
        <v>57</v>
      </c>
      <c r="D21" s="22">
        <v>69</v>
      </c>
      <c r="E21" s="22">
        <v>75</v>
      </c>
      <c r="F21" s="22">
        <f t="shared" si="0"/>
        <v>201</v>
      </c>
      <c r="G21" s="22">
        <v>300</v>
      </c>
      <c r="H21" s="25">
        <f t="shared" si="1"/>
        <v>0.67</v>
      </c>
    </row>
  </sheetData>
  <conditionalFormatting sqref="H2:H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{64149416-3DF5-4D5D-BDB7-71D687ECF958}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149416-3DF5-4D5D-BDB7-71D687ECF9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95C3-5074-4ED4-B6BA-4923E6F6B443}">
  <dimension ref="A1:I24"/>
  <sheetViews>
    <sheetView tabSelected="1"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6.85546875" bestFit="1" customWidth="1"/>
    <col min="4" max="4" width="37.5703125" bestFit="1" customWidth="1"/>
    <col min="5" max="5" width="11" bestFit="1" customWidth="1"/>
  </cols>
  <sheetData>
    <row r="1" spans="1:9" ht="21" x14ac:dyDescent="0.25">
      <c r="A1" s="2" t="s">
        <v>106</v>
      </c>
      <c r="B1" s="2" t="s">
        <v>107</v>
      </c>
      <c r="C1" s="2" t="s">
        <v>55</v>
      </c>
      <c r="D1" s="2" t="s">
        <v>133</v>
      </c>
      <c r="I1" s="19" t="s">
        <v>85</v>
      </c>
    </row>
    <row r="2" spans="1:9" ht="17.25" x14ac:dyDescent="0.25">
      <c r="A2" s="23" t="s">
        <v>111</v>
      </c>
      <c r="B2" s="29">
        <v>45299</v>
      </c>
      <c r="C2" s="23">
        <v>32000</v>
      </c>
      <c r="D2" s="23">
        <v>32000</v>
      </c>
      <c r="I2" s="20" t="s">
        <v>113</v>
      </c>
    </row>
    <row r="3" spans="1:9" ht="17.25" x14ac:dyDescent="0.25">
      <c r="A3" s="23" t="s">
        <v>109</v>
      </c>
      <c r="B3" s="29">
        <v>45294</v>
      </c>
      <c r="C3" s="23">
        <v>25000</v>
      </c>
      <c r="D3" s="23">
        <v>25000</v>
      </c>
      <c r="I3" s="20" t="s">
        <v>114</v>
      </c>
    </row>
    <row r="4" spans="1:9" ht="17.25" x14ac:dyDescent="0.25">
      <c r="A4" s="22" t="s">
        <v>112</v>
      </c>
      <c r="B4" s="28">
        <v>45301</v>
      </c>
      <c r="C4" s="22">
        <v>15000</v>
      </c>
      <c r="D4" s="22">
        <v>15000</v>
      </c>
      <c r="I4" s="20" t="s">
        <v>115</v>
      </c>
    </row>
    <row r="5" spans="1:9" ht="17.25" x14ac:dyDescent="0.25">
      <c r="A5" s="23" t="s">
        <v>129</v>
      </c>
      <c r="B5" s="29">
        <v>45356</v>
      </c>
      <c r="C5" s="23">
        <v>14739</v>
      </c>
      <c r="D5" s="23">
        <v>14739</v>
      </c>
    </row>
    <row r="6" spans="1:9" ht="17.25" x14ac:dyDescent="0.25">
      <c r="A6" s="23" t="s">
        <v>131</v>
      </c>
      <c r="B6" s="29">
        <v>45527</v>
      </c>
      <c r="C6" s="23">
        <v>14671</v>
      </c>
      <c r="D6" s="23">
        <v>14671</v>
      </c>
    </row>
    <row r="7" spans="1:9" ht="17.25" x14ac:dyDescent="0.25">
      <c r="A7" s="23" t="s">
        <v>121</v>
      </c>
      <c r="B7" s="29">
        <v>45300</v>
      </c>
      <c r="C7" s="23">
        <v>14491</v>
      </c>
      <c r="D7" s="23">
        <v>14491</v>
      </c>
    </row>
    <row r="8" spans="1:9" ht="17.25" x14ac:dyDescent="0.25">
      <c r="A8" s="23" t="s">
        <v>119</v>
      </c>
      <c r="B8" s="29">
        <v>45573</v>
      </c>
      <c r="C8" s="23">
        <v>14319</v>
      </c>
      <c r="D8" s="23">
        <v>14319</v>
      </c>
    </row>
    <row r="9" spans="1:9" ht="17.25" x14ac:dyDescent="0.25">
      <c r="A9" s="22" t="s">
        <v>130</v>
      </c>
      <c r="B9" s="28">
        <v>45615</v>
      </c>
      <c r="C9" s="22">
        <v>13975</v>
      </c>
      <c r="D9" s="22">
        <v>13975</v>
      </c>
    </row>
    <row r="10" spans="1:9" ht="17.25" x14ac:dyDescent="0.25">
      <c r="A10" s="22" t="s">
        <v>120</v>
      </c>
      <c r="B10" s="28">
        <v>45521</v>
      </c>
      <c r="C10" s="22">
        <v>13495</v>
      </c>
      <c r="D10" s="22">
        <v>13495</v>
      </c>
    </row>
    <row r="11" spans="1:9" ht="17.25" x14ac:dyDescent="0.25">
      <c r="A11" s="22" t="s">
        <v>128</v>
      </c>
      <c r="B11" s="28">
        <v>45354</v>
      </c>
      <c r="C11" s="22">
        <v>13400</v>
      </c>
      <c r="D11" s="22">
        <v>13400</v>
      </c>
    </row>
    <row r="12" spans="1:9" ht="17.25" x14ac:dyDescent="0.25">
      <c r="A12" s="23" t="s">
        <v>117</v>
      </c>
      <c r="B12" s="29">
        <v>45311</v>
      </c>
      <c r="C12" s="23">
        <v>13264</v>
      </c>
      <c r="D12" s="23">
        <v>13264</v>
      </c>
    </row>
    <row r="13" spans="1:9" ht="17.25" x14ac:dyDescent="0.25">
      <c r="A13" s="23" t="s">
        <v>127</v>
      </c>
      <c r="B13" s="29">
        <v>45461</v>
      </c>
      <c r="C13" s="23">
        <v>13261</v>
      </c>
      <c r="D13" s="23">
        <v>13261</v>
      </c>
    </row>
    <row r="14" spans="1:9" ht="17.25" x14ac:dyDescent="0.25">
      <c r="A14" s="22" t="s">
        <v>118</v>
      </c>
      <c r="B14" s="28">
        <v>45509</v>
      </c>
      <c r="C14" s="22">
        <v>13192</v>
      </c>
      <c r="D14" s="22">
        <v>13192</v>
      </c>
    </row>
    <row r="15" spans="1:9" ht="17.25" x14ac:dyDescent="0.25">
      <c r="A15" s="23" t="s">
        <v>125</v>
      </c>
      <c r="B15" s="29">
        <v>45363</v>
      </c>
      <c r="C15" s="23">
        <v>13034</v>
      </c>
      <c r="D15" s="23">
        <v>13034</v>
      </c>
    </row>
    <row r="16" spans="1:9" ht="17.25" x14ac:dyDescent="0.25">
      <c r="A16" s="23" t="s">
        <v>123</v>
      </c>
      <c r="B16" s="29">
        <v>45332</v>
      </c>
      <c r="C16" s="23">
        <v>12525</v>
      </c>
      <c r="D16" s="23">
        <v>12525</v>
      </c>
    </row>
    <row r="17" spans="1:4" ht="17.25" x14ac:dyDescent="0.25">
      <c r="A17" s="22" t="s">
        <v>108</v>
      </c>
      <c r="B17" s="28">
        <v>45292</v>
      </c>
      <c r="C17" s="22">
        <v>12000</v>
      </c>
      <c r="D17" s="22">
        <v>12000</v>
      </c>
    </row>
    <row r="18" spans="1:4" ht="17.25" x14ac:dyDescent="0.25">
      <c r="A18" s="22" t="s">
        <v>126</v>
      </c>
      <c r="B18" s="28">
        <v>45649</v>
      </c>
      <c r="C18" s="22">
        <v>11449</v>
      </c>
      <c r="D18" s="22">
        <v>11449</v>
      </c>
    </row>
    <row r="19" spans="1:4" ht="17.25" x14ac:dyDescent="0.25">
      <c r="A19" s="22" t="s">
        <v>124</v>
      </c>
      <c r="B19" s="28">
        <v>45461</v>
      </c>
      <c r="C19" s="22">
        <v>11426</v>
      </c>
      <c r="D19" s="22">
        <v>11426</v>
      </c>
    </row>
    <row r="20" spans="1:4" ht="17.25" x14ac:dyDescent="0.25">
      <c r="A20" s="22" t="s">
        <v>122</v>
      </c>
      <c r="B20" s="28">
        <v>45413</v>
      </c>
      <c r="C20" s="22">
        <v>11414</v>
      </c>
      <c r="D20" s="22">
        <v>11414</v>
      </c>
    </row>
    <row r="21" spans="1:4" ht="17.25" x14ac:dyDescent="0.25">
      <c r="A21" s="22" t="s">
        <v>110</v>
      </c>
      <c r="B21" s="28">
        <v>45296</v>
      </c>
      <c r="C21" s="22">
        <v>8000</v>
      </c>
      <c r="D21" s="22">
        <v>8000</v>
      </c>
    </row>
    <row r="22" spans="1:4" ht="17.25" x14ac:dyDescent="0.25">
      <c r="A22" s="21"/>
      <c r="B22" s="30" t="s">
        <v>116</v>
      </c>
      <c r="C22" s="31">
        <f>SUM(C2:C21)</f>
        <v>290655</v>
      </c>
    </row>
    <row r="23" spans="1:4" ht="17.25" x14ac:dyDescent="0.25">
      <c r="A23" s="21"/>
      <c r="B23" s="32" t="s">
        <v>132</v>
      </c>
      <c r="C23" s="33">
        <f>AVERAGE(C2:C21)</f>
        <v>14532.75</v>
      </c>
    </row>
    <row r="24" spans="1:4" ht="18" thickBot="1" x14ac:dyDescent="0.3">
      <c r="B24" s="26"/>
      <c r="C24" s="27"/>
    </row>
  </sheetData>
  <autoFilter ref="A1:D21" xr:uid="{113995C3-5074-4ED4-B6BA-4923E6F6B443}">
    <sortState xmlns:xlrd2="http://schemas.microsoft.com/office/spreadsheetml/2017/richdata2" ref="A2:D23">
      <sortCondition descending="1" ref="D1:D2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ASDC8</dc:creator>
  <cp:lastModifiedBy>ASDC8</cp:lastModifiedBy>
  <dcterms:created xsi:type="dcterms:W3CDTF">2026-01-24T14:49:45Z</dcterms:created>
  <dcterms:modified xsi:type="dcterms:W3CDTF">2026-01-24T16:01:27Z</dcterms:modified>
</cp:coreProperties>
</file>